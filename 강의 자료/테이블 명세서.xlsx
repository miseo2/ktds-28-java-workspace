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211-11\Desktop\"/>
    </mc:Choice>
  </mc:AlternateContent>
  <xr:revisionPtr revIDLastSave="0" documentId="13_ncr:1_{6C7084AD-906F-43BC-B4D0-3953E3DB240E}" xr6:coauthVersionLast="47" xr6:coauthVersionMax="47" xr10:uidLastSave="{00000000-0000-0000-0000-000000000000}"/>
  <bookViews>
    <workbookView xWindow="-120" yWindow="-120" windowWidth="29040" windowHeight="15840" activeTab="8" xr2:uid="{802E7722-B099-FB4F-89D0-B5B50B7F50C7}"/>
  </bookViews>
  <sheets>
    <sheet name="영화" sheetId="1" r:id="rId1"/>
    <sheet name="장르" sheetId="4" r:id="rId2"/>
    <sheet name="영화_장르" sheetId="5" r:id="rId3"/>
    <sheet name="참여자" sheetId="6" r:id="rId4"/>
    <sheet name="제작" sheetId="7" r:id="rId5"/>
    <sheet name="출연" sheetId="8" r:id="rId6"/>
    <sheet name="키워드" sheetId="9" r:id="rId7"/>
    <sheet name="영화 키워드" sheetId="13" r:id="rId8"/>
    <sheet name="동영상" sheetId="12" r:id="rId9"/>
    <sheet name="배경" sheetId="11" r:id="rId10"/>
    <sheet name="포스터" sheetId="10" r:id="rId11"/>
    <sheet name="Data Dictionary" sheetId="2" r:id="rId12"/>
    <sheet name="단축어" sheetId="3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3" l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</calcChain>
</file>

<file path=xl/sharedStrings.xml><?xml version="1.0" encoding="utf-8"?>
<sst xmlns="http://schemas.openxmlformats.org/spreadsheetml/2006/main" count="697" uniqueCount="260">
  <si>
    <t>컬럼명</t>
    <phoneticPr fontId="2" type="noConversion"/>
  </si>
  <si>
    <t>물리명</t>
    <phoneticPr fontId="2" type="noConversion"/>
  </si>
  <si>
    <t>논리명</t>
    <phoneticPr fontId="2" type="noConversion"/>
  </si>
  <si>
    <t>타입</t>
    <phoneticPr fontId="2" type="noConversion"/>
  </si>
  <si>
    <t>길이</t>
    <phoneticPr fontId="2" type="noConversion"/>
  </si>
  <si>
    <t>순번</t>
    <phoneticPr fontId="2" type="noConversion"/>
  </si>
  <si>
    <t>PK</t>
    <phoneticPr fontId="2" type="noConversion"/>
  </si>
  <si>
    <t>NOT NULL</t>
    <phoneticPr fontId="2" type="noConversion"/>
  </si>
  <si>
    <t>참조</t>
    <phoneticPr fontId="2" type="noConversion"/>
  </si>
  <si>
    <t>테이블</t>
    <phoneticPr fontId="2" type="noConversion"/>
  </si>
  <si>
    <t>컬럼</t>
    <phoneticPr fontId="2" type="noConversion"/>
  </si>
  <si>
    <t>설명</t>
    <phoneticPr fontId="2" type="noConversion"/>
  </si>
  <si>
    <t>DEFAULT</t>
    <phoneticPr fontId="2" type="noConversion"/>
  </si>
  <si>
    <t>작성일</t>
    <phoneticPr fontId="2" type="noConversion"/>
  </si>
  <si>
    <t>테이블명</t>
    <phoneticPr fontId="2" type="noConversion"/>
  </si>
  <si>
    <t>작성자</t>
    <phoneticPr fontId="2" type="noConversion"/>
  </si>
  <si>
    <t>수정자</t>
    <phoneticPr fontId="2" type="noConversion"/>
  </si>
  <si>
    <t>수정일</t>
    <phoneticPr fontId="2" type="noConversion"/>
  </si>
  <si>
    <t>CHAR</t>
    <phoneticPr fontId="2" type="noConversion"/>
  </si>
  <si>
    <t>DATE</t>
    <phoneticPr fontId="2" type="noConversion"/>
  </si>
  <si>
    <t>CLOB</t>
    <phoneticPr fontId="2" type="noConversion"/>
  </si>
  <si>
    <t>NUMBER</t>
    <phoneticPr fontId="2" type="noConversion"/>
  </si>
  <si>
    <t>Y</t>
    <phoneticPr fontId="2" type="noConversion"/>
  </si>
  <si>
    <t>N</t>
    <phoneticPr fontId="2" type="noConversion"/>
  </si>
  <si>
    <t>VARCHAR2</t>
    <phoneticPr fontId="2" type="noConversion"/>
  </si>
  <si>
    <t>영단어</t>
    <phoneticPr fontId="2" type="noConversion"/>
  </si>
  <si>
    <t>단축어</t>
    <phoneticPr fontId="2" type="noConversion"/>
  </si>
  <si>
    <t>포스터</t>
    <phoneticPr fontId="2" type="noConversion"/>
  </si>
  <si>
    <t>PSTR</t>
    <phoneticPr fontId="2" type="noConversion"/>
  </si>
  <si>
    <t>영화</t>
    <phoneticPr fontId="2" type="noConversion"/>
  </si>
  <si>
    <t>MV</t>
    <phoneticPr fontId="2" type="noConversion"/>
  </si>
  <si>
    <t>배우</t>
    <phoneticPr fontId="2" type="noConversion"/>
  </si>
  <si>
    <t>ACTR</t>
    <phoneticPr fontId="2" type="noConversion"/>
  </si>
  <si>
    <t>감독</t>
    <phoneticPr fontId="2" type="noConversion"/>
  </si>
  <si>
    <t>DRCTR</t>
    <phoneticPr fontId="2" type="noConversion"/>
  </si>
  <si>
    <t>사진</t>
    <phoneticPr fontId="2" type="noConversion"/>
  </si>
  <si>
    <t>PHT</t>
    <phoneticPr fontId="2" type="noConversion"/>
  </si>
  <si>
    <t>Trailler</t>
    <phoneticPr fontId="2" type="noConversion"/>
  </si>
  <si>
    <t>Poster</t>
    <phoneticPr fontId="2" type="noConversion"/>
  </si>
  <si>
    <t>Movie</t>
    <phoneticPr fontId="2" type="noConversion"/>
  </si>
  <si>
    <t>Actor</t>
    <phoneticPr fontId="2" type="noConversion"/>
  </si>
  <si>
    <t>Director</t>
    <phoneticPr fontId="2" type="noConversion"/>
  </si>
  <si>
    <t>Photo</t>
    <phoneticPr fontId="2" type="noConversion"/>
  </si>
  <si>
    <t>트레일러</t>
    <phoneticPr fontId="2" type="noConversion"/>
  </si>
  <si>
    <t>TRLLR</t>
    <phoneticPr fontId="2" type="noConversion"/>
  </si>
  <si>
    <t>번호</t>
    <phoneticPr fontId="2" type="noConversion"/>
  </si>
  <si>
    <t>NO</t>
    <phoneticPr fontId="2" type="noConversion"/>
  </si>
  <si>
    <t>Name</t>
    <phoneticPr fontId="2" type="noConversion"/>
  </si>
  <si>
    <t>Number</t>
    <phoneticPr fontId="2" type="noConversion"/>
  </si>
  <si>
    <t>사람의 이름</t>
    <phoneticPr fontId="2" type="noConversion"/>
  </si>
  <si>
    <t>NM</t>
    <phoneticPr fontId="2" type="noConversion"/>
  </si>
  <si>
    <t>User</t>
    <phoneticPr fontId="2" type="noConversion"/>
  </si>
  <si>
    <t>회원</t>
    <phoneticPr fontId="2" type="noConversion"/>
  </si>
  <si>
    <t>USR</t>
    <phoneticPr fontId="2" type="noConversion"/>
  </si>
  <si>
    <t>Description</t>
    <phoneticPr fontId="2" type="noConversion"/>
  </si>
  <si>
    <t>내용/설명</t>
    <phoneticPr fontId="2" type="noConversion"/>
  </si>
  <si>
    <t>DESC</t>
    <phoneticPr fontId="2" type="noConversion"/>
  </si>
  <si>
    <t>영화 아이디</t>
    <phoneticPr fontId="2" type="noConversion"/>
  </si>
  <si>
    <t>제목</t>
    <phoneticPr fontId="2" type="noConversion"/>
  </si>
  <si>
    <t>러닝타임</t>
    <phoneticPr fontId="2" type="noConversion"/>
  </si>
  <si>
    <t>개요</t>
    <phoneticPr fontId="2" type="noConversion"/>
  </si>
  <si>
    <t>페이스북URL</t>
    <phoneticPr fontId="2" type="noConversion"/>
  </si>
  <si>
    <t>X URL</t>
    <phoneticPr fontId="2" type="noConversion"/>
  </si>
  <si>
    <t>인스타그램 URL</t>
    <phoneticPr fontId="2" type="noConversion"/>
  </si>
  <si>
    <t>한줄 설명</t>
    <phoneticPr fontId="2" type="noConversion"/>
  </si>
  <si>
    <t>원제</t>
    <phoneticPr fontId="2" type="noConversion"/>
  </si>
  <si>
    <t>상태</t>
    <phoneticPr fontId="2" type="noConversion"/>
  </si>
  <si>
    <t>원어</t>
    <phoneticPr fontId="2" type="noConversion"/>
  </si>
  <si>
    <t>제작비</t>
    <phoneticPr fontId="2" type="noConversion"/>
  </si>
  <si>
    <t>수익</t>
    <phoneticPr fontId="2" type="noConversion"/>
  </si>
  <si>
    <t>개봉일</t>
    <phoneticPr fontId="2" type="noConversion"/>
  </si>
  <si>
    <t>영화의 정보를 관리하는 테이블</t>
    <phoneticPr fontId="2" type="noConversion"/>
  </si>
  <si>
    <t>최미서</t>
    <phoneticPr fontId="2" type="noConversion"/>
  </si>
  <si>
    <t>CHAR</t>
    <phoneticPr fontId="2" type="noConversion"/>
  </si>
  <si>
    <t>고정 길이 문자열</t>
    <phoneticPr fontId="2" type="noConversion"/>
  </si>
  <si>
    <t>CLOB</t>
  </si>
  <si>
    <t>CLOB</t>
    <phoneticPr fontId="2" type="noConversion"/>
  </si>
  <si>
    <t>길이 제한이 없는 문자열</t>
    <phoneticPr fontId="2" type="noConversion"/>
  </si>
  <si>
    <t>DATE</t>
  </si>
  <si>
    <t>DATE</t>
    <phoneticPr fontId="2" type="noConversion"/>
  </si>
  <si>
    <t>날짜 및 시간</t>
    <phoneticPr fontId="2" type="noConversion"/>
  </si>
  <si>
    <t>NUMBER</t>
  </si>
  <si>
    <t>NUMBER</t>
    <phoneticPr fontId="2" type="noConversion"/>
  </si>
  <si>
    <t>숫자 (정수 및 실수)</t>
    <phoneticPr fontId="2" type="noConversion"/>
  </si>
  <si>
    <t>36자리</t>
    <phoneticPr fontId="2" type="noConversion"/>
  </si>
  <si>
    <t>가변 길이 문자열</t>
    <phoneticPr fontId="2" type="noConversion"/>
  </si>
  <si>
    <t>VARCHAR2</t>
  </si>
  <si>
    <t>3 CHAR</t>
    <phoneticPr fontId="2" type="noConversion"/>
  </si>
  <si>
    <t>(5, 0)</t>
    <phoneticPr fontId="2" type="noConversion"/>
  </si>
  <si>
    <t>메인 포스터 URL</t>
    <phoneticPr fontId="2" type="noConversion"/>
  </si>
  <si>
    <t>45 CHAR</t>
    <phoneticPr fontId="2" type="noConversion"/>
  </si>
  <si>
    <t>4000 CHAR</t>
    <phoneticPr fontId="2" type="noConversion"/>
  </si>
  <si>
    <t>5 CHAR</t>
    <phoneticPr fontId="2" type="noConversion"/>
  </si>
  <si>
    <t>(10, 0)</t>
    <phoneticPr fontId="2" type="noConversion"/>
  </si>
  <si>
    <t>Y</t>
  </si>
  <si>
    <t>N</t>
  </si>
  <si>
    <t>달러 단위로 환산해서 작성</t>
    <phoneticPr fontId="2" type="noConversion"/>
  </si>
  <si>
    <t>분 단위로 작성</t>
    <phoneticPr fontId="2" type="noConversion"/>
  </si>
  <si>
    <t>Identify</t>
    <phoneticPr fontId="2" type="noConversion"/>
  </si>
  <si>
    <t>아이디</t>
    <phoneticPr fontId="2" type="noConversion"/>
  </si>
  <si>
    <t>ID</t>
    <phoneticPr fontId="2" type="noConversion"/>
  </si>
  <si>
    <t>MV_ID</t>
    <phoneticPr fontId="2" type="noConversion"/>
  </si>
  <si>
    <t>제목(영상, 음악 따위의)</t>
    <phoneticPr fontId="2" type="noConversion"/>
  </si>
  <si>
    <t>Title</t>
    <phoneticPr fontId="2" type="noConversion"/>
  </si>
  <si>
    <t>TTL</t>
    <phoneticPr fontId="2" type="noConversion"/>
  </si>
  <si>
    <t>심의등급</t>
    <phoneticPr fontId="2" type="noConversion"/>
  </si>
  <si>
    <t>심의(방송,영화,광고 등의 내용이 적절한지 검사하는 심의)</t>
    <phoneticPr fontId="2" type="noConversion"/>
  </si>
  <si>
    <t>Screening</t>
    <phoneticPr fontId="2" type="noConversion"/>
  </si>
  <si>
    <t>SCRNNG</t>
    <phoneticPr fontId="2" type="noConversion"/>
  </si>
  <si>
    <t>CNSRSHP</t>
    <phoneticPr fontId="2" type="noConversion"/>
  </si>
  <si>
    <t>Censorship</t>
    <phoneticPr fontId="2" type="noConversion"/>
  </si>
  <si>
    <t>등급(호텔, 영화, 신용 등급 따위의)</t>
    <phoneticPr fontId="2" type="noConversion"/>
  </si>
  <si>
    <t>Rating</t>
    <phoneticPr fontId="2" type="noConversion"/>
  </si>
  <si>
    <t>RTNG</t>
    <phoneticPr fontId="2" type="noConversion"/>
  </si>
  <si>
    <t>영화 심의 등급</t>
    <phoneticPr fontId="2" type="noConversion"/>
  </si>
  <si>
    <t>Movie Rating</t>
    <phoneticPr fontId="2" type="noConversion"/>
  </si>
  <si>
    <t>MV_RTNG</t>
  </si>
  <si>
    <t>MV_RTNG</t>
    <phoneticPr fontId="2" type="noConversion"/>
  </si>
  <si>
    <t>주된</t>
    <phoneticPr fontId="2" type="noConversion"/>
  </si>
  <si>
    <t>Main</t>
    <phoneticPr fontId="2" type="noConversion"/>
  </si>
  <si>
    <t>MAIN</t>
    <phoneticPr fontId="2" type="noConversion"/>
  </si>
  <si>
    <t>URL</t>
    <phoneticPr fontId="2" type="noConversion"/>
  </si>
  <si>
    <t>MAIN_PSTR_URL</t>
    <phoneticPr fontId="2" type="noConversion"/>
  </si>
  <si>
    <t>Time</t>
    <phoneticPr fontId="2" type="noConversion"/>
  </si>
  <si>
    <t>시간</t>
    <phoneticPr fontId="2" type="noConversion"/>
  </si>
  <si>
    <t>TM</t>
    <phoneticPr fontId="2" type="noConversion"/>
  </si>
  <si>
    <t>Running Time</t>
    <phoneticPr fontId="2" type="noConversion"/>
  </si>
  <si>
    <t>Date</t>
    <phoneticPr fontId="2" type="noConversion"/>
  </si>
  <si>
    <t>Release</t>
    <phoneticPr fontId="2" type="noConversion"/>
  </si>
  <si>
    <t>Summary</t>
    <phoneticPr fontId="2" type="noConversion"/>
  </si>
  <si>
    <t>Tagline</t>
    <phoneticPr fontId="2" type="noConversion"/>
  </si>
  <si>
    <t>Original</t>
    <phoneticPr fontId="2" type="noConversion"/>
  </si>
  <si>
    <t>Showing</t>
    <phoneticPr fontId="2" type="noConversion"/>
  </si>
  <si>
    <t>Playing</t>
    <phoneticPr fontId="2" type="noConversion"/>
  </si>
  <si>
    <t>Language</t>
    <phoneticPr fontId="2" type="noConversion"/>
  </si>
  <si>
    <t>Budget</t>
    <phoneticPr fontId="2" type="noConversion"/>
  </si>
  <si>
    <t>Box office revenue</t>
    <phoneticPr fontId="2" type="noConversion"/>
  </si>
  <si>
    <t>Box office gross</t>
    <phoneticPr fontId="2" type="noConversion"/>
  </si>
  <si>
    <t>일자</t>
    <phoneticPr fontId="2" type="noConversion"/>
  </si>
  <si>
    <t>개봉</t>
    <phoneticPr fontId="2" type="noConversion"/>
  </si>
  <si>
    <t>홍보 문구</t>
    <phoneticPr fontId="2" type="noConversion"/>
  </si>
  <si>
    <t>원래의, 본래의</t>
    <phoneticPr fontId="2" type="noConversion"/>
  </si>
  <si>
    <t>개봉 상태</t>
    <phoneticPr fontId="2" type="noConversion"/>
  </si>
  <si>
    <t>언어</t>
    <phoneticPr fontId="2" type="noConversion"/>
  </si>
  <si>
    <t>수익(영화 등의)</t>
    <phoneticPr fontId="2" type="noConversion"/>
  </si>
  <si>
    <t>러닝 타임(상영시간)</t>
    <phoneticPr fontId="2" type="noConversion"/>
  </si>
  <si>
    <t>RNNG_TM</t>
  </si>
  <si>
    <t>RNNG_TM</t>
    <phoneticPr fontId="2" type="noConversion"/>
  </si>
  <si>
    <t>DT</t>
    <phoneticPr fontId="2" type="noConversion"/>
  </si>
  <si>
    <t>RLS</t>
    <phoneticPr fontId="2" type="noConversion"/>
  </si>
  <si>
    <t>SMMR</t>
    <phoneticPr fontId="2" type="noConversion"/>
  </si>
  <si>
    <t>TGLN</t>
    <phoneticPr fontId="2" type="noConversion"/>
  </si>
  <si>
    <t>ORGN</t>
    <phoneticPr fontId="2" type="noConversion"/>
  </si>
  <si>
    <t>SHWNG</t>
    <phoneticPr fontId="2" type="noConversion"/>
  </si>
  <si>
    <t>PLYNG</t>
  </si>
  <si>
    <t>PLYNG</t>
    <phoneticPr fontId="2" type="noConversion"/>
  </si>
  <si>
    <t>LNGG</t>
    <phoneticPr fontId="2" type="noConversion"/>
  </si>
  <si>
    <t>BDGT</t>
  </si>
  <si>
    <t>BDGT</t>
    <phoneticPr fontId="2" type="noConversion"/>
  </si>
  <si>
    <t>BX_OFFC_RVN</t>
    <phoneticPr fontId="2" type="noConversion"/>
  </si>
  <si>
    <t>BX_OFFC_GRSS</t>
    <phoneticPr fontId="2" type="noConversion"/>
  </si>
  <si>
    <t>ORGN_LNGG</t>
    <phoneticPr fontId="2" type="noConversion"/>
  </si>
  <si>
    <t>ORGN_TTL</t>
    <phoneticPr fontId="2" type="noConversion"/>
  </si>
  <si>
    <t>X_URL</t>
    <phoneticPr fontId="2" type="noConversion"/>
  </si>
  <si>
    <t>INSTA_URL</t>
    <phoneticPr fontId="2" type="noConversion"/>
  </si>
  <si>
    <t>FB_URL</t>
    <phoneticPr fontId="2" type="noConversion"/>
  </si>
  <si>
    <t>RLS_DT</t>
    <phoneticPr fontId="2" type="noConversion"/>
  </si>
  <si>
    <t>50 CHAR</t>
    <phoneticPr fontId="2" type="noConversion"/>
  </si>
  <si>
    <t>40 CHAR</t>
    <phoneticPr fontId="2" type="noConversion"/>
  </si>
  <si>
    <t>420 CHAR</t>
    <phoneticPr fontId="2" type="noConversion"/>
  </si>
  <si>
    <t>55 CHAR</t>
    <phoneticPr fontId="2" type="noConversion"/>
  </si>
  <si>
    <t>장르 아이디</t>
    <phoneticPr fontId="2" type="noConversion"/>
  </si>
  <si>
    <t>이름</t>
    <phoneticPr fontId="2" type="noConversion"/>
  </si>
  <si>
    <t>장르</t>
    <phoneticPr fontId="2" type="noConversion"/>
  </si>
  <si>
    <t>이름(사람 이외의)</t>
    <phoneticPr fontId="2" type="noConversion"/>
  </si>
  <si>
    <t>Genre</t>
    <phoneticPr fontId="2" type="noConversion"/>
  </si>
  <si>
    <t>GNR</t>
    <phoneticPr fontId="2" type="noConversion"/>
  </si>
  <si>
    <t>GNR_ID</t>
    <phoneticPr fontId="2" type="noConversion"/>
  </si>
  <si>
    <t>20 CHAR</t>
    <phoneticPr fontId="2" type="noConversion"/>
  </si>
  <si>
    <t>영화의 장르를 관리하는 테이블</t>
    <phoneticPr fontId="2" type="noConversion"/>
  </si>
  <si>
    <t>영화_장르</t>
    <phoneticPr fontId="2" type="noConversion"/>
  </si>
  <si>
    <t>영화 장르 아이디</t>
    <phoneticPr fontId="2" type="noConversion"/>
  </si>
  <si>
    <t>GRN</t>
    <phoneticPr fontId="2" type="noConversion"/>
  </si>
  <si>
    <t>MV_GNR_ID</t>
    <phoneticPr fontId="2" type="noConversion"/>
  </si>
  <si>
    <t>MG-연월일(8자리)-일련번호(6자리)</t>
    <phoneticPr fontId="2" type="noConversion"/>
  </si>
  <si>
    <t>참여자 아이디</t>
    <phoneticPr fontId="2" type="noConversion"/>
  </si>
  <si>
    <t>참여자 프로필</t>
    <phoneticPr fontId="2" type="noConversion"/>
  </si>
  <si>
    <t>참여자</t>
    <phoneticPr fontId="2" type="noConversion"/>
  </si>
  <si>
    <t>MV_GNR</t>
    <phoneticPr fontId="2" type="noConversion"/>
  </si>
  <si>
    <t>제작</t>
    <phoneticPr fontId="2" type="noConversion"/>
  </si>
  <si>
    <t>제작 아이디</t>
    <phoneticPr fontId="2" type="noConversion"/>
  </si>
  <si>
    <t>역할</t>
    <phoneticPr fontId="2" type="noConversion"/>
  </si>
  <si>
    <t>파트</t>
    <phoneticPr fontId="2" type="noConversion"/>
  </si>
  <si>
    <t>10 CHAR</t>
    <phoneticPr fontId="2" type="noConversion"/>
  </si>
  <si>
    <t>Part</t>
    <phoneticPr fontId="2" type="noConversion"/>
  </si>
  <si>
    <t>PRT</t>
    <phoneticPr fontId="2" type="noConversion"/>
  </si>
  <si>
    <t>CHAR</t>
  </si>
  <si>
    <t>PT-연월일(8자리)-일련번호(6자리)</t>
    <phoneticPr fontId="2" type="noConversion"/>
  </si>
  <si>
    <t>출연</t>
    <phoneticPr fontId="2" type="noConversion"/>
  </si>
  <si>
    <t>Involved</t>
    <phoneticPr fontId="2" type="noConversion"/>
  </si>
  <si>
    <t>영화 참여자 (배우, 스탭)</t>
    <phoneticPr fontId="2" type="noConversion"/>
  </si>
  <si>
    <t>Profile</t>
    <phoneticPr fontId="2" type="noConversion"/>
  </si>
  <si>
    <t>Filmmaker</t>
    <phoneticPr fontId="2" type="noConversion"/>
  </si>
  <si>
    <t>Role</t>
    <phoneticPr fontId="2" type="noConversion"/>
  </si>
  <si>
    <t>Star</t>
    <phoneticPr fontId="2" type="noConversion"/>
  </si>
  <si>
    <t>Appear</t>
    <phoneticPr fontId="2" type="noConversion"/>
  </si>
  <si>
    <t>Keyword</t>
    <phoneticPr fontId="2" type="noConversion"/>
  </si>
  <si>
    <t>Video</t>
    <phoneticPr fontId="2" type="noConversion"/>
  </si>
  <si>
    <t>Background</t>
    <phoneticPr fontId="2" type="noConversion"/>
  </si>
  <si>
    <t>프로필</t>
    <phoneticPr fontId="2" type="noConversion"/>
  </si>
  <si>
    <t>영화를 만드는 사람</t>
    <phoneticPr fontId="2" type="noConversion"/>
  </si>
  <si>
    <t>역할 / 배역</t>
    <phoneticPr fontId="2" type="noConversion"/>
  </si>
  <si>
    <t>출연(주연 배우)</t>
    <phoneticPr fontId="2" type="noConversion"/>
  </si>
  <si>
    <t>작품이나 방송에 모습을 드러내어 출연</t>
    <phoneticPr fontId="2" type="noConversion"/>
  </si>
  <si>
    <t>키워드</t>
    <phoneticPr fontId="2" type="noConversion"/>
  </si>
  <si>
    <t>영상</t>
    <phoneticPr fontId="2" type="noConversion"/>
  </si>
  <si>
    <t>배경</t>
    <phoneticPr fontId="2" type="noConversion"/>
  </si>
  <si>
    <t>INVLVD</t>
  </si>
  <si>
    <t>INVLVD</t>
    <phoneticPr fontId="2" type="noConversion"/>
  </si>
  <si>
    <t>PRFL</t>
    <phoneticPr fontId="2" type="noConversion"/>
  </si>
  <si>
    <t>FLMMKR</t>
    <phoneticPr fontId="2" type="noConversion"/>
  </si>
  <si>
    <t>RL</t>
    <phoneticPr fontId="2" type="noConversion"/>
  </si>
  <si>
    <t>STR</t>
    <phoneticPr fontId="2" type="noConversion"/>
  </si>
  <si>
    <t>APPR</t>
    <phoneticPr fontId="2" type="noConversion"/>
  </si>
  <si>
    <t>KWRD</t>
    <phoneticPr fontId="2" type="noConversion"/>
  </si>
  <si>
    <t>VD</t>
    <phoneticPr fontId="2" type="noConversion"/>
  </si>
  <si>
    <t>BCKGRD</t>
    <phoneticPr fontId="2" type="noConversion"/>
  </si>
  <si>
    <t>INVLVD_ID</t>
    <phoneticPr fontId="2" type="noConversion"/>
  </si>
  <si>
    <t>INVLVD_PRFL</t>
    <phoneticPr fontId="2" type="noConversion"/>
  </si>
  <si>
    <t>FLMMKR_ID</t>
    <phoneticPr fontId="2" type="noConversion"/>
  </si>
  <si>
    <t>출연아이디</t>
    <phoneticPr fontId="2" type="noConversion"/>
  </si>
  <si>
    <t>APPR_ID</t>
    <phoneticPr fontId="2" type="noConversion"/>
  </si>
  <si>
    <t>FL-연월일(8자리)-일련번호(6자리)</t>
    <phoneticPr fontId="2" type="noConversion"/>
  </si>
  <si>
    <t>AP-연월일(8자리)-일련번호(6자리)</t>
    <phoneticPr fontId="2" type="noConversion"/>
  </si>
  <si>
    <t>키워드 아이디</t>
    <phoneticPr fontId="2" type="noConversion"/>
  </si>
  <si>
    <t>30 CHAR</t>
    <phoneticPr fontId="2" type="noConversion"/>
  </si>
  <si>
    <t>MV_KWRD</t>
    <phoneticPr fontId="2" type="noConversion"/>
  </si>
  <si>
    <t>영화 키워드</t>
    <phoneticPr fontId="2" type="noConversion"/>
  </si>
  <si>
    <t>영화 키워드 아이디</t>
    <phoneticPr fontId="2" type="noConversion"/>
  </si>
  <si>
    <t>KWRD_ID</t>
    <phoneticPr fontId="2" type="noConversion"/>
  </si>
  <si>
    <t>동영상</t>
    <phoneticPr fontId="2" type="noConversion"/>
  </si>
  <si>
    <t>동영상 아이디</t>
    <phoneticPr fontId="2" type="noConversion"/>
  </si>
  <si>
    <t>영화에 참여하는 인원을 관리하는 테이블</t>
    <phoneticPr fontId="2" type="noConversion"/>
  </si>
  <si>
    <t>배역 명</t>
    <phoneticPr fontId="2" type="noConversion"/>
  </si>
  <si>
    <t xml:space="preserve">키워드 </t>
    <phoneticPr fontId="2" type="noConversion"/>
  </si>
  <si>
    <t>동영상 URL</t>
    <phoneticPr fontId="2" type="noConversion"/>
  </si>
  <si>
    <t>키워드 목록을 관리하는 테이블</t>
    <phoneticPr fontId="2" type="noConversion"/>
  </si>
  <si>
    <t>배경 아이디</t>
    <phoneticPr fontId="2" type="noConversion"/>
  </si>
  <si>
    <t>배경 URL</t>
    <phoneticPr fontId="2" type="noConversion"/>
  </si>
  <si>
    <t>포스터 아이디</t>
    <phoneticPr fontId="2" type="noConversion"/>
  </si>
  <si>
    <t>포스터 URL</t>
    <phoneticPr fontId="2" type="noConversion"/>
  </si>
  <si>
    <t>VD_ID</t>
    <phoneticPr fontId="2" type="noConversion"/>
  </si>
  <si>
    <t>VD_URL</t>
    <phoneticPr fontId="2" type="noConversion"/>
  </si>
  <si>
    <t>BCKGRD_ID</t>
    <phoneticPr fontId="2" type="noConversion"/>
  </si>
  <si>
    <t>BCKGRD_URL</t>
    <phoneticPr fontId="2" type="noConversion"/>
  </si>
  <si>
    <t>VD-연월일(8자리)-일련번호(6자리)</t>
    <phoneticPr fontId="2" type="noConversion"/>
  </si>
  <si>
    <t>BG-연월일(8자리)-일련번호(6자리)</t>
    <phoneticPr fontId="2" type="noConversion"/>
  </si>
  <si>
    <t>PSTR_ID</t>
    <phoneticPr fontId="2" type="noConversion"/>
  </si>
  <si>
    <t>PSTR_URL</t>
    <phoneticPr fontId="2" type="noConversion"/>
  </si>
  <si>
    <t>MK-연월일(8자리)-일련번호(6자리)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</si>
</sst>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left" vertical="center" indent="1"/>
    </xf>
    <xf numFmtId="0" fontId="0" fillId="2" borderId="0" xfId="0" applyFill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14" fontId="0" fillId="0" borderId="1" xfId="0" applyNumberFormat="1" applyBorder="1" applyAlignment="1">
      <alignment horizontal="left" vertical="center" indent="1"/>
    </xf>
    <xf numFmtId="0" fontId="0" fillId="2" borderId="6" xfId="0" applyFill="1" applyBorder="1" applyAlignment="1">
      <alignment horizontal="left" vertical="center" indent="1"/>
    </xf>
    <xf numFmtId="0" fontId="3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2" borderId="7" xfId="0" applyFill="1" applyBorder="1" applyAlignment="1">
      <alignment horizontal="left" vertical="center" indent="1"/>
    </xf>
    <xf numFmtId="0" fontId="0" fillId="2" borderId="8" xfId="0" applyFill="1" applyBorder="1" applyAlignment="1">
      <alignment horizontal="left" vertical="center" indent="1"/>
    </xf>
    <xf numFmtId="0" fontId="0" fillId="0" borderId="7" xfId="0" applyBorder="1">
      <alignment vertical="center"/>
    </xf>
    <xf numFmtId="0" fontId="0" fillId="2" borderId="9" xfId="0" applyFill="1" applyBorder="1" applyAlignment="1">
      <alignment horizontal="left" vertical="center" indent="1"/>
    </xf>
    <xf numFmtId="0" fontId="4" fillId="0" borderId="1" xfId="0" applyFont="1" applyBorder="1">
      <alignment vertical="center"/>
    </xf>
    <xf numFmtId="0" fontId="0" fillId="2" borderId="10" xfId="0" applyFill="1" applyBorder="1" applyAlignment="1">
      <alignment horizontal="left" vertical="center" indent="1"/>
    </xf>
    <xf numFmtId="0" fontId="1" fillId="3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left" vertical="center" indent="1"/>
    </xf>
    <xf numFmtId="0" fontId="0" fillId="0" borderId="9" xfId="0" applyBorder="1">
      <alignment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B250B-609D-0E4C-BE90-25AD323941FD}">
  <dimension ref="B1:L23"/>
  <sheetViews>
    <sheetView topLeftCell="B1" workbookViewId="0">
      <selection activeCell="C17" sqref="C17"/>
    </sheetView>
  </sheetViews>
  <sheetFormatPr defaultColWidth="10.6640625" defaultRowHeight="24.95" customHeight="1"/>
  <cols>
    <col min="1" max="1" width="3.6640625" style="2" customWidth="1"/>
    <col min="2" max="2" width="10.6640625" style="4"/>
    <col min="3" max="3" width="22.109375" style="4" customWidth="1"/>
    <col min="4" max="4" width="25.88671875" style="4" customWidth="1"/>
    <col min="5" max="5" width="19.88671875" style="4" customWidth="1"/>
    <col min="6" max="6" width="13.5546875" style="4" customWidth="1"/>
    <col min="7" max="8" width="10.6640625" style="4"/>
    <col min="9" max="9" width="15.88671875" style="4" customWidth="1"/>
    <col min="10" max="10" width="18.33203125" style="4" customWidth="1"/>
    <col min="11" max="11" width="14.33203125" style="4" customWidth="1"/>
    <col min="12" max="12" width="26.5546875" style="4" bestFit="1" customWidth="1"/>
    <col min="13" max="16384" width="10.6640625" style="2"/>
  </cols>
  <sheetData>
    <row r="1" spans="2:12" ht="24.95" customHeight="1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24.95" customHeight="1">
      <c r="B2" s="23" t="s">
        <v>14</v>
      </c>
      <c r="C2" s="5" t="s">
        <v>1</v>
      </c>
      <c r="D2" s="25" t="s">
        <v>30</v>
      </c>
      <c r="E2" s="25"/>
      <c r="F2" s="25"/>
      <c r="G2" s="25"/>
      <c r="H2" s="25"/>
      <c r="I2" s="5" t="s">
        <v>15</v>
      </c>
      <c r="J2" s="7" t="s">
        <v>72</v>
      </c>
      <c r="K2" s="5" t="s">
        <v>16</v>
      </c>
      <c r="L2" s="7"/>
    </row>
    <row r="3" spans="2:12" ht="24.95" customHeight="1">
      <c r="B3" s="23"/>
      <c r="C3" s="5" t="s">
        <v>2</v>
      </c>
      <c r="D3" s="25" t="s">
        <v>29</v>
      </c>
      <c r="E3" s="25"/>
      <c r="F3" s="25"/>
      <c r="G3" s="25"/>
      <c r="H3" s="25"/>
      <c r="I3" s="5" t="s">
        <v>13</v>
      </c>
      <c r="J3" s="9">
        <v>46261</v>
      </c>
      <c r="K3" s="5" t="s">
        <v>17</v>
      </c>
      <c r="L3" s="7"/>
    </row>
    <row r="4" spans="2:12" ht="24.95" customHeight="1" thickBot="1">
      <c r="B4" s="6" t="s">
        <v>11</v>
      </c>
      <c r="C4" s="24" t="s">
        <v>71</v>
      </c>
      <c r="D4" s="24"/>
      <c r="E4" s="24"/>
      <c r="F4" s="24"/>
      <c r="G4" s="24"/>
      <c r="H4" s="24"/>
      <c r="I4" s="24"/>
      <c r="J4" s="24"/>
      <c r="K4" s="24"/>
      <c r="L4" s="24"/>
    </row>
    <row r="5" spans="2:12" ht="24.95" customHeight="1" thickTop="1">
      <c r="B5" s="22" t="s">
        <v>5</v>
      </c>
      <c r="C5" s="22" t="s">
        <v>0</v>
      </c>
      <c r="D5" s="22"/>
      <c r="E5" s="22" t="s">
        <v>3</v>
      </c>
      <c r="F5" s="22"/>
      <c r="G5" s="22" t="s">
        <v>6</v>
      </c>
      <c r="H5" s="22" t="s">
        <v>7</v>
      </c>
      <c r="I5" s="22" t="s">
        <v>12</v>
      </c>
      <c r="J5" s="26" t="s">
        <v>8</v>
      </c>
      <c r="K5" s="27"/>
      <c r="L5" s="22" t="s">
        <v>11</v>
      </c>
    </row>
    <row r="6" spans="2:12" ht="24.95" customHeight="1">
      <c r="B6" s="23"/>
      <c r="C6" s="5" t="s">
        <v>1</v>
      </c>
      <c r="D6" s="5" t="s">
        <v>2</v>
      </c>
      <c r="E6" s="5" t="s">
        <v>3</v>
      </c>
      <c r="F6" s="5" t="s">
        <v>4</v>
      </c>
      <c r="G6" s="23"/>
      <c r="H6" s="23"/>
      <c r="I6" s="23"/>
      <c r="J6" s="5" t="s">
        <v>9</v>
      </c>
      <c r="K6" s="5" t="s">
        <v>10</v>
      </c>
      <c r="L6" s="23"/>
    </row>
    <row r="7" spans="2:12" ht="24.95" customHeight="1">
      <c r="B7" s="3">
        <v>1</v>
      </c>
      <c r="C7" s="10" t="s">
        <v>101</v>
      </c>
      <c r="D7" s="11" t="s">
        <v>57</v>
      </c>
      <c r="E7" s="3" t="s">
        <v>86</v>
      </c>
      <c r="F7" s="3" t="s">
        <v>167</v>
      </c>
      <c r="G7" s="3" t="s">
        <v>94</v>
      </c>
      <c r="H7" s="3" t="s">
        <v>94</v>
      </c>
      <c r="I7" s="3"/>
      <c r="J7" s="3"/>
      <c r="K7" s="3"/>
      <c r="L7" s="3"/>
    </row>
    <row r="8" spans="2:12" ht="24.95" customHeight="1">
      <c r="B8" s="3">
        <v>2</v>
      </c>
      <c r="C8" s="10" t="s">
        <v>104</v>
      </c>
      <c r="D8" s="12" t="s">
        <v>58</v>
      </c>
      <c r="E8" s="3" t="s">
        <v>86</v>
      </c>
      <c r="F8" s="3" t="s">
        <v>168</v>
      </c>
      <c r="G8" s="3"/>
      <c r="H8" s="3" t="s">
        <v>94</v>
      </c>
      <c r="I8" s="3"/>
      <c r="J8" s="3"/>
      <c r="K8" s="3"/>
      <c r="L8" s="3"/>
    </row>
    <row r="9" spans="2:12" ht="24.95" customHeight="1">
      <c r="B9" s="3">
        <v>3</v>
      </c>
      <c r="C9" s="10" t="s">
        <v>116</v>
      </c>
      <c r="D9" s="12" t="s">
        <v>105</v>
      </c>
      <c r="E9" s="3" t="s">
        <v>86</v>
      </c>
      <c r="F9" s="3" t="s">
        <v>87</v>
      </c>
      <c r="G9" s="3"/>
      <c r="H9" s="3" t="s">
        <v>95</v>
      </c>
      <c r="I9" s="3"/>
      <c r="J9" s="3"/>
      <c r="K9" s="3"/>
      <c r="L9" s="3"/>
    </row>
    <row r="10" spans="2:12" ht="24.95" customHeight="1">
      <c r="B10" s="3">
        <v>4</v>
      </c>
      <c r="C10" s="4" t="s">
        <v>146</v>
      </c>
      <c r="D10" s="12" t="s">
        <v>59</v>
      </c>
      <c r="E10" s="3" t="s">
        <v>81</v>
      </c>
      <c r="F10" s="3" t="s">
        <v>88</v>
      </c>
      <c r="G10" s="3"/>
      <c r="H10" s="3" t="s">
        <v>95</v>
      </c>
      <c r="I10" s="3"/>
      <c r="J10" s="3"/>
      <c r="K10" s="3"/>
      <c r="L10" s="3" t="s">
        <v>97</v>
      </c>
    </row>
    <row r="11" spans="2:12" ht="24.95" customHeight="1">
      <c r="B11" s="3">
        <v>5</v>
      </c>
      <c r="C11" s="10" t="s">
        <v>166</v>
      </c>
      <c r="D11" s="12" t="s">
        <v>70</v>
      </c>
      <c r="E11" s="3" t="s">
        <v>78</v>
      </c>
      <c r="F11" s="3"/>
      <c r="G11" s="3"/>
      <c r="H11" s="3" t="s">
        <v>95</v>
      </c>
      <c r="I11" s="3"/>
      <c r="J11" s="3"/>
      <c r="K11" s="3"/>
      <c r="L11" s="3"/>
    </row>
    <row r="12" spans="2:12" ht="24.95" customHeight="1">
      <c r="B12" s="3">
        <v>6</v>
      </c>
      <c r="C12" s="10" t="s">
        <v>150</v>
      </c>
      <c r="D12" s="12" t="s">
        <v>60</v>
      </c>
      <c r="E12" s="3" t="s">
        <v>86</v>
      </c>
      <c r="F12" s="3" t="s">
        <v>169</v>
      </c>
      <c r="G12" s="3"/>
      <c r="H12" s="3" t="s">
        <v>95</v>
      </c>
      <c r="I12" s="3"/>
      <c r="J12" s="3"/>
      <c r="K12" s="3"/>
      <c r="L12" s="3"/>
    </row>
    <row r="13" spans="2:12" ht="24.95" customHeight="1">
      <c r="B13" s="3">
        <v>7</v>
      </c>
      <c r="C13" s="10" t="s">
        <v>122</v>
      </c>
      <c r="D13" s="12" t="s">
        <v>89</v>
      </c>
      <c r="E13" s="3" t="s">
        <v>75</v>
      </c>
      <c r="F13" s="3"/>
      <c r="G13" s="3"/>
      <c r="H13" s="3" t="s">
        <v>95</v>
      </c>
      <c r="I13" s="3"/>
      <c r="J13" s="3"/>
      <c r="K13" s="3"/>
      <c r="L13" s="3"/>
    </row>
    <row r="14" spans="2:12" ht="24.95" customHeight="1">
      <c r="B14" s="3">
        <v>8</v>
      </c>
      <c r="C14" s="10" t="s">
        <v>165</v>
      </c>
      <c r="D14" s="12" t="s">
        <v>61</v>
      </c>
      <c r="E14" s="3" t="s">
        <v>86</v>
      </c>
      <c r="F14" s="3" t="s">
        <v>91</v>
      </c>
      <c r="G14" s="3"/>
      <c r="H14" s="3" t="s">
        <v>95</v>
      </c>
      <c r="I14" s="3"/>
      <c r="J14" s="3"/>
      <c r="K14" s="3"/>
      <c r="L14" s="3"/>
    </row>
    <row r="15" spans="2:12" ht="24.95" customHeight="1">
      <c r="B15" s="3">
        <v>9</v>
      </c>
      <c r="C15" s="10" t="s">
        <v>163</v>
      </c>
      <c r="D15" s="12" t="s">
        <v>62</v>
      </c>
      <c r="E15" s="3" t="s">
        <v>86</v>
      </c>
      <c r="F15" s="3" t="s">
        <v>91</v>
      </c>
      <c r="G15" s="3"/>
      <c r="H15" s="3" t="s">
        <v>95</v>
      </c>
      <c r="I15" s="3"/>
      <c r="J15" s="3"/>
      <c r="K15" s="3"/>
      <c r="L15" s="3"/>
    </row>
    <row r="16" spans="2:12" ht="24.95" customHeight="1">
      <c r="B16" s="3">
        <v>10</v>
      </c>
      <c r="C16" s="10" t="s">
        <v>164</v>
      </c>
      <c r="D16" s="12" t="s">
        <v>63</v>
      </c>
      <c r="E16" s="3" t="s">
        <v>86</v>
      </c>
      <c r="F16" s="3" t="s">
        <v>91</v>
      </c>
      <c r="G16" s="3"/>
      <c r="H16" s="3" t="s">
        <v>95</v>
      </c>
      <c r="I16" s="3"/>
      <c r="J16" s="3"/>
      <c r="K16" s="3"/>
      <c r="L16" s="3"/>
    </row>
    <row r="17" spans="2:12" ht="24.95" customHeight="1">
      <c r="B17" s="3">
        <v>11</v>
      </c>
      <c r="C17" s="10" t="s">
        <v>151</v>
      </c>
      <c r="D17" s="12" t="s">
        <v>64</v>
      </c>
      <c r="E17" s="3" t="s">
        <v>86</v>
      </c>
      <c r="F17" s="3" t="s">
        <v>170</v>
      </c>
      <c r="G17" s="3"/>
      <c r="H17" s="3" t="s">
        <v>95</v>
      </c>
      <c r="I17" s="3"/>
      <c r="J17" s="3"/>
      <c r="K17" s="3"/>
      <c r="L17" s="3"/>
    </row>
    <row r="18" spans="2:12" ht="24.95" customHeight="1">
      <c r="B18" s="3">
        <v>12</v>
      </c>
      <c r="C18" s="10" t="s">
        <v>162</v>
      </c>
      <c r="D18" s="12" t="s">
        <v>65</v>
      </c>
      <c r="E18" s="3" t="s">
        <v>86</v>
      </c>
      <c r="F18" s="3" t="s">
        <v>90</v>
      </c>
      <c r="G18" s="3"/>
      <c r="H18" s="3" t="s">
        <v>95</v>
      </c>
      <c r="I18" s="3"/>
      <c r="J18" s="3"/>
      <c r="K18" s="3"/>
      <c r="L18" s="3"/>
    </row>
    <row r="19" spans="2:12" ht="24.95" customHeight="1">
      <c r="B19" s="3">
        <v>13</v>
      </c>
      <c r="C19" s="10" t="s">
        <v>154</v>
      </c>
      <c r="D19" s="12" t="s">
        <v>66</v>
      </c>
      <c r="E19" s="3" t="s">
        <v>86</v>
      </c>
      <c r="F19" s="3" t="s">
        <v>92</v>
      </c>
      <c r="G19" s="3"/>
      <c r="H19" s="3" t="s">
        <v>94</v>
      </c>
      <c r="I19" s="3"/>
      <c r="J19" s="3"/>
      <c r="K19" s="3"/>
      <c r="L19" s="3"/>
    </row>
    <row r="20" spans="2:12" ht="24.95" customHeight="1">
      <c r="B20" s="3">
        <v>14</v>
      </c>
      <c r="C20" s="10" t="s">
        <v>161</v>
      </c>
      <c r="D20" s="12" t="s">
        <v>67</v>
      </c>
      <c r="E20" s="3" t="s">
        <v>86</v>
      </c>
      <c r="F20" s="3" t="s">
        <v>92</v>
      </c>
      <c r="G20" s="3"/>
      <c r="H20" s="3" t="s">
        <v>94</v>
      </c>
      <c r="I20" s="3"/>
      <c r="J20" s="3"/>
      <c r="K20" s="3"/>
      <c r="L20" s="3"/>
    </row>
    <row r="21" spans="2:12" ht="24.95" customHeight="1">
      <c r="B21" s="3">
        <v>15</v>
      </c>
      <c r="C21" s="10" t="s">
        <v>157</v>
      </c>
      <c r="D21" s="12" t="s">
        <v>68</v>
      </c>
      <c r="E21" s="3" t="s">
        <v>81</v>
      </c>
      <c r="F21" s="3" t="s">
        <v>93</v>
      </c>
      <c r="G21" s="3"/>
      <c r="H21" s="3" t="s">
        <v>95</v>
      </c>
      <c r="I21" s="3"/>
      <c r="J21" s="3"/>
      <c r="K21" s="3"/>
      <c r="L21" s="3" t="s">
        <v>96</v>
      </c>
    </row>
    <row r="22" spans="2:12" ht="24.95" customHeight="1">
      <c r="B22" s="13">
        <v>16</v>
      </c>
      <c r="C22" s="14" t="s">
        <v>159</v>
      </c>
      <c r="D22" s="15" t="s">
        <v>69</v>
      </c>
      <c r="E22" s="13" t="s">
        <v>81</v>
      </c>
      <c r="F22" s="13" t="s">
        <v>93</v>
      </c>
      <c r="G22" s="13"/>
      <c r="H22" s="13" t="s">
        <v>95</v>
      </c>
      <c r="I22" s="13"/>
      <c r="J22" s="13"/>
      <c r="K22" s="13"/>
      <c r="L22" s="13" t="s">
        <v>96</v>
      </c>
    </row>
    <row r="23" spans="2:12" ht="24.95" customHeight="1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</sheetData>
  <mergeCells count="12">
    <mergeCell ref="L5:L6"/>
    <mergeCell ref="I5:I6"/>
    <mergeCell ref="B2:B3"/>
    <mergeCell ref="C4:L4"/>
    <mergeCell ref="D2:H2"/>
    <mergeCell ref="D3:H3"/>
    <mergeCell ref="J5:K5"/>
    <mergeCell ref="C5:D5"/>
    <mergeCell ref="E5:F5"/>
    <mergeCell ref="G5:G6"/>
    <mergeCell ref="B5:B6"/>
    <mergeCell ref="H5:H6"/>
  </mergeCells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B30A6F2-AACE-E64F-A474-5B3C0B2CD8AE}">
          <x14:formula1>
            <xm:f>'Data Dictionary'!$A$2:$A$6</xm:f>
          </x14:formula1>
          <xm:sqref>E7:E23</xm:sqref>
        </x14:dataValidation>
        <x14:dataValidation type="list" allowBlank="1" showInputMessage="1" showErrorMessage="1" xr:uid="{185F229F-CBAD-1340-B34E-C3CA1B8358A1}">
          <x14:formula1>
            <xm:f>'Data Dictionary'!$B$2:$B$3</xm:f>
          </x14:formula1>
          <xm:sqref>G7:H23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D2644-9E97-4731-B364-2B48727975C1}">
  <dimension ref="B1:L9"/>
  <sheetViews>
    <sheetView workbookViewId="0">
      <selection activeCell="D9" sqref="D9"/>
    </sheetView>
  </sheetViews>
  <sheetFormatPr defaultColWidth="10.6640625" defaultRowHeight="24.95" customHeight="1"/>
  <cols>
    <col min="1" max="1" width="3.6640625" style="2" customWidth="1"/>
    <col min="2" max="2" width="10.6640625" style="4"/>
    <col min="3" max="3" width="22.109375" style="4" customWidth="1"/>
    <col min="4" max="4" width="25.88671875" style="4" customWidth="1"/>
    <col min="5" max="5" width="19.88671875" style="4" customWidth="1"/>
    <col min="6" max="6" width="13.5546875" style="4" customWidth="1"/>
    <col min="7" max="8" width="10.6640625" style="4"/>
    <col min="9" max="9" width="15.88671875" style="4" customWidth="1"/>
    <col min="10" max="10" width="18.33203125" style="4" customWidth="1"/>
    <col min="11" max="11" width="14.33203125" style="4" customWidth="1"/>
    <col min="12" max="12" width="26.5546875" style="4" bestFit="1" customWidth="1"/>
    <col min="13" max="16384" width="10.6640625" style="2"/>
  </cols>
  <sheetData>
    <row r="1" spans="2:12" ht="24.95" customHeight="1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24.95" customHeight="1">
      <c r="B2" s="23" t="s">
        <v>14</v>
      </c>
      <c r="C2" s="5" t="s">
        <v>1</v>
      </c>
      <c r="D2" s="25" t="s">
        <v>176</v>
      </c>
      <c r="E2" s="25"/>
      <c r="F2" s="25"/>
      <c r="G2" s="25"/>
      <c r="H2" s="25"/>
      <c r="I2" s="5" t="s">
        <v>15</v>
      </c>
      <c r="J2" s="7" t="s">
        <v>72</v>
      </c>
      <c r="K2" s="5" t="s">
        <v>16</v>
      </c>
      <c r="L2" s="7"/>
    </row>
    <row r="3" spans="2:12" ht="24.95" customHeight="1">
      <c r="B3" s="23"/>
      <c r="C3" s="5" t="s">
        <v>2</v>
      </c>
      <c r="D3" s="25" t="s">
        <v>173</v>
      </c>
      <c r="E3" s="25"/>
      <c r="F3" s="25"/>
      <c r="G3" s="25"/>
      <c r="H3" s="25"/>
      <c r="I3" s="5" t="s">
        <v>13</v>
      </c>
      <c r="J3" s="9">
        <v>46261</v>
      </c>
      <c r="K3" s="5" t="s">
        <v>17</v>
      </c>
      <c r="L3" s="7"/>
    </row>
    <row r="4" spans="2:12" ht="24.95" customHeight="1" thickBot="1">
      <c r="B4" s="6" t="s">
        <v>11</v>
      </c>
      <c r="C4" s="24" t="s">
        <v>179</v>
      </c>
      <c r="D4" s="24"/>
      <c r="E4" s="24"/>
      <c r="F4" s="24"/>
      <c r="G4" s="24"/>
      <c r="H4" s="24"/>
      <c r="I4" s="24"/>
      <c r="J4" s="24"/>
      <c r="K4" s="24"/>
      <c r="L4" s="24"/>
    </row>
    <row r="5" spans="2:12" ht="24.95" customHeight="1" thickTop="1">
      <c r="B5" s="22" t="s">
        <v>5</v>
      </c>
      <c r="C5" s="22" t="s">
        <v>0</v>
      </c>
      <c r="D5" s="22"/>
      <c r="E5" s="22" t="s">
        <v>3</v>
      </c>
      <c r="F5" s="22"/>
      <c r="G5" s="22" t="s">
        <v>6</v>
      </c>
      <c r="H5" s="22" t="s">
        <v>7</v>
      </c>
      <c r="I5" s="22" t="s">
        <v>12</v>
      </c>
      <c r="J5" s="26" t="s">
        <v>8</v>
      </c>
      <c r="K5" s="27"/>
      <c r="L5" s="22" t="s">
        <v>11</v>
      </c>
    </row>
    <row r="6" spans="2:12" ht="24.95" customHeight="1">
      <c r="B6" s="23"/>
      <c r="C6" s="5" t="s">
        <v>1</v>
      </c>
      <c r="D6" s="19" t="s">
        <v>2</v>
      </c>
      <c r="E6" s="5" t="s">
        <v>3</v>
      </c>
      <c r="F6" s="5" t="s">
        <v>4</v>
      </c>
      <c r="G6" s="23"/>
      <c r="H6" s="23"/>
      <c r="I6" s="23"/>
      <c r="J6" s="5" t="s">
        <v>9</v>
      </c>
      <c r="K6" s="5" t="s">
        <v>10</v>
      </c>
      <c r="L6" s="23"/>
    </row>
    <row r="7" spans="2:12" ht="24.95" customHeight="1">
      <c r="B7" s="3">
        <v>1</v>
      </c>
      <c r="C7" s="10" t="s">
        <v>177</v>
      </c>
      <c r="D7" s="17" t="s">
        <v>171</v>
      </c>
      <c r="E7" s="18" t="s">
        <v>86</v>
      </c>
      <c r="F7" s="3" t="s">
        <v>178</v>
      </c>
      <c r="G7" s="3" t="s">
        <v>94</v>
      </c>
      <c r="H7" s="3" t="s">
        <v>94</v>
      </c>
      <c r="I7" s="3"/>
      <c r="J7" s="3"/>
      <c r="K7" s="3"/>
      <c r="L7" s="3"/>
    </row>
    <row r="8" spans="2:12" ht="24.95" customHeight="1">
      <c r="B8" s="3">
        <v>2</v>
      </c>
      <c r="C8" s="10" t="s">
        <v>50</v>
      </c>
      <c r="D8" s="12" t="s">
        <v>172</v>
      </c>
      <c r="E8" s="18" t="s">
        <v>86</v>
      </c>
      <c r="F8" s="3" t="s">
        <v>178</v>
      </c>
      <c r="G8" s="3"/>
      <c r="H8" s="3" t="s">
        <v>94</v>
      </c>
      <c r="I8" s="3"/>
      <c r="J8" s="3"/>
      <c r="K8" s="3"/>
      <c r="L8" s="3"/>
    </row>
    <row r="9" spans="2:12" ht="24.95" customHeight="1">
      <c r="D9"/>
    </row>
  </sheetData>
  <mergeCells count="12">
    <mergeCell ref="J5:K5"/>
    <mergeCell ref="L5:L6"/>
    <mergeCell ref="B2:B3"/>
    <mergeCell ref="D2:H2"/>
    <mergeCell ref="D3:H3"/>
    <mergeCell ref="C4:L4"/>
    <mergeCell ref="B5:B6"/>
    <mergeCell ref="C5:D5"/>
    <mergeCell ref="E5:F5"/>
    <mergeCell ref="G5:G6"/>
    <mergeCell ref="H5:H6"/>
    <mergeCell ref="I5:I6"/>
  </mergeCells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0ED624F-2AC8-4EA5-B21B-7C9381A67AC9}">
          <x14:formula1>
            <xm:f>'Data Dictionary'!$B$2:$B$3</xm:f>
          </x14:formula1>
          <xm:sqref>G7:H10</xm:sqref>
        </x14:dataValidation>
        <x14:dataValidation type="list" allowBlank="1" showInputMessage="1" showErrorMessage="1" xr:uid="{E7F46648-F8A2-4B42-857F-BD99F89020E5}">
          <x14:formula1>
            <xm:f>'Data Dictionary'!$A$2:$A$6</xm:f>
          </x14:formula1>
          <xm:sqref>E7:E10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C7C8A-408C-4655-8A26-0757957EC309}">
  <dimension ref="B1:L9"/>
  <sheetViews>
    <sheetView topLeftCell="C1" workbookViewId="0">
      <selection activeCell="L7" sqref="L7"/>
    </sheetView>
  </sheetViews>
  <sheetFormatPr defaultColWidth="10.6640625" defaultRowHeight="24.95" customHeight="1"/>
  <cols>
    <col min="1" max="1" width="3.6640625" style="2" customWidth="1"/>
    <col min="2" max="2" width="10.6640625" style="4"/>
    <col min="3" max="3" width="22.109375" style="4" customWidth="1"/>
    <col min="4" max="4" width="25.88671875" style="4" customWidth="1"/>
    <col min="5" max="5" width="19.88671875" style="4" customWidth="1"/>
    <col min="6" max="6" width="13.5546875" style="4" customWidth="1"/>
    <col min="7" max="8" width="10.6640625" style="4"/>
    <col min="9" max="9" width="15.88671875" style="4" customWidth="1"/>
    <col min="10" max="10" width="18.33203125" style="4" customWidth="1"/>
    <col min="11" max="11" width="14.33203125" style="4" customWidth="1"/>
    <col min="12" max="12" width="33.88671875" style="4" bestFit="1" customWidth="1"/>
    <col min="13" max="16384" width="10.6640625" style="2"/>
  </cols>
  <sheetData>
    <row r="1" spans="2:12" ht="24.95" customHeight="1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24.95" customHeight="1">
      <c r="B2" s="23" t="s">
        <v>14</v>
      </c>
      <c r="C2" s="5" t="s">
        <v>1</v>
      </c>
      <c r="D2" s="25" t="s">
        <v>188</v>
      </c>
      <c r="E2" s="25"/>
      <c r="F2" s="25"/>
      <c r="G2" s="25"/>
      <c r="H2" s="25"/>
      <c r="I2" s="5" t="s">
        <v>15</v>
      </c>
      <c r="J2" s="7" t="s">
        <v>72</v>
      </c>
      <c r="K2" s="5" t="s">
        <v>16</v>
      </c>
      <c r="L2" s="7"/>
    </row>
    <row r="3" spans="2:12" ht="24.95" customHeight="1">
      <c r="B3" s="23"/>
      <c r="C3" s="5" t="s">
        <v>2</v>
      </c>
      <c r="D3" s="25" t="s">
        <v>180</v>
      </c>
      <c r="E3" s="25"/>
      <c r="F3" s="25"/>
      <c r="G3" s="25"/>
      <c r="H3" s="25"/>
      <c r="I3" s="5" t="s">
        <v>13</v>
      </c>
      <c r="J3" s="9">
        <v>46262</v>
      </c>
      <c r="K3" s="5" t="s">
        <v>17</v>
      </c>
      <c r="L3" s="7"/>
    </row>
    <row r="4" spans="2:12" ht="24.95" customHeight="1" thickBot="1">
      <c r="B4" s="6" t="s">
        <v>11</v>
      </c>
      <c r="C4" s="24" t="s">
        <v>179</v>
      </c>
      <c r="D4" s="24"/>
      <c r="E4" s="24"/>
      <c r="F4" s="24"/>
      <c r="G4" s="24"/>
      <c r="H4" s="24"/>
      <c r="I4" s="24"/>
      <c r="J4" s="24"/>
      <c r="K4" s="24"/>
      <c r="L4" s="24"/>
    </row>
    <row r="5" spans="2:12" ht="24.95" customHeight="1" thickTop="1">
      <c r="B5" s="22" t="s">
        <v>5</v>
      </c>
      <c r="C5" s="22" t="s">
        <v>0</v>
      </c>
      <c r="D5" s="22"/>
      <c r="E5" s="22" t="s">
        <v>3</v>
      </c>
      <c r="F5" s="22"/>
      <c r="G5" s="22" t="s">
        <v>6</v>
      </c>
      <c r="H5" s="22" t="s">
        <v>7</v>
      </c>
      <c r="I5" s="22" t="s">
        <v>12</v>
      </c>
      <c r="J5" s="26" t="s">
        <v>8</v>
      </c>
      <c r="K5" s="27"/>
      <c r="L5" s="22" t="s">
        <v>11</v>
      </c>
    </row>
    <row r="6" spans="2:12" ht="24.95" customHeight="1">
      <c r="B6" s="23"/>
      <c r="C6" s="5" t="s">
        <v>1</v>
      </c>
      <c r="D6" s="5" t="s">
        <v>2</v>
      </c>
      <c r="E6" s="5" t="s">
        <v>3</v>
      </c>
      <c r="F6" s="5" t="s">
        <v>4</v>
      </c>
      <c r="G6" s="23"/>
      <c r="H6" s="23"/>
      <c r="I6" s="23"/>
      <c r="J6" s="5" t="s">
        <v>9</v>
      </c>
      <c r="K6" s="5" t="s">
        <v>10</v>
      </c>
      <c r="L6" s="23"/>
    </row>
    <row r="7" spans="2:12" ht="24.95" customHeight="1">
      <c r="B7" s="3">
        <v>1</v>
      </c>
      <c r="C7" s="10" t="s">
        <v>183</v>
      </c>
      <c r="D7" s="17" t="s">
        <v>181</v>
      </c>
      <c r="E7" s="3" t="s">
        <v>24</v>
      </c>
      <c r="F7" s="3" t="s">
        <v>178</v>
      </c>
      <c r="G7" s="3" t="s">
        <v>94</v>
      </c>
      <c r="H7" s="3" t="s">
        <v>94</v>
      </c>
      <c r="I7" s="3"/>
      <c r="J7" s="3"/>
      <c r="K7" s="3"/>
      <c r="L7" s="3" t="s">
        <v>184</v>
      </c>
    </row>
    <row r="8" spans="2:12" ht="24.95" customHeight="1">
      <c r="B8" s="3">
        <v>2</v>
      </c>
      <c r="C8" s="10" t="s">
        <v>177</v>
      </c>
      <c r="D8" s="12" t="s">
        <v>171</v>
      </c>
      <c r="E8" s="3" t="s">
        <v>86</v>
      </c>
      <c r="F8" s="3" t="s">
        <v>178</v>
      </c>
      <c r="G8" s="3"/>
      <c r="H8" s="3"/>
      <c r="I8" s="3"/>
      <c r="J8" s="3" t="s">
        <v>182</v>
      </c>
      <c r="K8" s="3" t="s">
        <v>177</v>
      </c>
      <c r="L8" s="3"/>
    </row>
    <row r="9" spans="2:12" ht="24.95" customHeight="1">
      <c r="B9" s="3">
        <v>3</v>
      </c>
      <c r="C9" s="10" t="s">
        <v>101</v>
      </c>
      <c r="D9" s="12" t="s">
        <v>57</v>
      </c>
      <c r="E9" s="3" t="s">
        <v>86</v>
      </c>
      <c r="F9" s="3" t="s">
        <v>167</v>
      </c>
      <c r="G9" s="3"/>
      <c r="H9" s="3"/>
      <c r="I9" s="3"/>
      <c r="J9" s="3" t="s">
        <v>30</v>
      </c>
      <c r="K9" s="3" t="s">
        <v>101</v>
      </c>
      <c r="L9" s="3"/>
    </row>
  </sheetData>
  <mergeCells count="12">
    <mergeCell ref="J5:K5"/>
    <mergeCell ref="L5:L6"/>
    <mergeCell ref="B2:B3"/>
    <mergeCell ref="D2:H2"/>
    <mergeCell ref="D3:H3"/>
    <mergeCell ref="C4:L4"/>
    <mergeCell ref="B5:B6"/>
    <mergeCell ref="C5:D5"/>
    <mergeCell ref="E5:F5"/>
    <mergeCell ref="G5:G6"/>
    <mergeCell ref="H5:H6"/>
    <mergeCell ref="I5:I6"/>
  </mergeCells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47E8E03-14B7-4991-AC8B-D029952CDEB4}">
          <x14:formula1>
            <xm:f>'Data Dictionary'!$A$2:$A$6</xm:f>
          </x14:formula1>
          <xm:sqref>E7:E10</xm:sqref>
        </x14:dataValidation>
        <x14:dataValidation type="list" allowBlank="1" showInputMessage="1" showErrorMessage="1" xr:uid="{4CA3D954-52D0-445F-9DA7-6EDA5686C62E}">
          <x14:formula1>
            <xm:f>'Data Dictionary'!$B$2:$B$3</xm:f>
          </x14:formula1>
          <xm:sqref>G7:H10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97F96-340F-44B8-9680-685642E875C8}">
  <dimension ref="B1:L9"/>
  <sheetViews>
    <sheetView workbookViewId="0">
      <selection activeCell="D2" sqref="D2:H2"/>
    </sheetView>
  </sheetViews>
  <sheetFormatPr defaultColWidth="10.6640625" defaultRowHeight="24.95" customHeight="1"/>
  <cols>
    <col min="1" max="1" width="3.6640625" style="2" customWidth="1"/>
    <col min="2" max="2" width="10.6640625" style="4"/>
    <col min="3" max="3" width="22.109375" style="4" customWidth="1"/>
    <col min="4" max="4" width="25.88671875" style="4" customWidth="1"/>
    <col min="5" max="5" width="19.88671875" style="4" customWidth="1"/>
    <col min="6" max="6" width="13.5546875" style="4" customWidth="1"/>
    <col min="7" max="8" width="10.6640625" style="4"/>
    <col min="9" max="9" width="15.88671875" style="4" customWidth="1"/>
    <col min="10" max="10" width="18.33203125" style="4" customWidth="1"/>
    <col min="11" max="11" width="14.33203125" style="4" customWidth="1"/>
    <col min="12" max="12" width="33.88671875" style="4" bestFit="1" customWidth="1"/>
    <col min="13" max="16384" width="10.6640625" style="2"/>
  </cols>
  <sheetData>
    <row r="1" spans="2:12" ht="24.95" customHeight="1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24.95" customHeight="1">
      <c r="B2" s="23" t="s">
        <v>14</v>
      </c>
      <c r="C2" s="5" t="s">
        <v>1</v>
      </c>
      <c r="D2" s="25" t="s">
        <v>218</v>
      </c>
      <c r="E2" s="25"/>
      <c r="F2" s="25"/>
      <c r="G2" s="25"/>
      <c r="H2" s="25"/>
      <c r="I2" s="5" t="s">
        <v>15</v>
      </c>
      <c r="J2" s="7" t="s">
        <v>72</v>
      </c>
      <c r="K2" s="5" t="s">
        <v>16</v>
      </c>
      <c r="L2" s="7"/>
    </row>
    <row r="3" spans="2:12" ht="24.95" customHeight="1">
      <c r="B3" s="23"/>
      <c r="C3" s="5" t="s">
        <v>2</v>
      </c>
      <c r="D3" s="25" t="s">
        <v>187</v>
      </c>
      <c r="E3" s="25"/>
      <c r="F3" s="25"/>
      <c r="G3" s="25"/>
      <c r="H3" s="25"/>
      <c r="I3" s="5" t="s">
        <v>13</v>
      </c>
      <c r="J3" s="9">
        <v>46262</v>
      </c>
      <c r="K3" s="5" t="s">
        <v>17</v>
      </c>
      <c r="L3" s="7"/>
    </row>
    <row r="4" spans="2:12" ht="24.95" customHeight="1" thickBot="1">
      <c r="B4" s="6" t="s">
        <v>11</v>
      </c>
      <c r="C4" s="24" t="s">
        <v>242</v>
      </c>
      <c r="D4" s="24"/>
      <c r="E4" s="24"/>
      <c r="F4" s="24"/>
      <c r="G4" s="24"/>
      <c r="H4" s="24"/>
      <c r="I4" s="24"/>
      <c r="J4" s="24"/>
      <c r="K4" s="24"/>
      <c r="L4" s="24"/>
    </row>
    <row r="5" spans="2:12" ht="24.95" customHeight="1" thickTop="1">
      <c r="B5" s="22" t="s">
        <v>5</v>
      </c>
      <c r="C5" s="22" t="s">
        <v>0</v>
      </c>
      <c r="D5" s="22"/>
      <c r="E5" s="22" t="s">
        <v>3</v>
      </c>
      <c r="F5" s="22"/>
      <c r="G5" s="22" t="s">
        <v>6</v>
      </c>
      <c r="H5" s="22" t="s">
        <v>7</v>
      </c>
      <c r="I5" s="22" t="s">
        <v>12</v>
      </c>
      <c r="J5" s="26" t="s">
        <v>8</v>
      </c>
      <c r="K5" s="27"/>
      <c r="L5" s="22" t="s">
        <v>11</v>
      </c>
    </row>
    <row r="6" spans="2:12" ht="24.95" customHeight="1">
      <c r="B6" s="23"/>
      <c r="C6" s="5" t="s">
        <v>1</v>
      </c>
      <c r="D6" s="5" t="s">
        <v>2</v>
      </c>
      <c r="E6" s="5" t="s">
        <v>3</v>
      </c>
      <c r="F6" s="5" t="s">
        <v>4</v>
      </c>
      <c r="G6" s="23"/>
      <c r="H6" s="23"/>
      <c r="I6" s="23"/>
      <c r="J6" s="5" t="s">
        <v>9</v>
      </c>
      <c r="K6" s="5" t="s">
        <v>10</v>
      </c>
      <c r="L6" s="23"/>
    </row>
    <row r="7" spans="2:12" ht="24.95" customHeight="1">
      <c r="B7" s="3">
        <v>1</v>
      </c>
      <c r="C7" s="10" t="s">
        <v>227</v>
      </c>
      <c r="D7" s="17" t="s">
        <v>185</v>
      </c>
      <c r="E7" s="3" t="s">
        <v>24</v>
      </c>
      <c r="F7" s="3" t="s">
        <v>168</v>
      </c>
      <c r="G7" s="3" t="s">
        <v>94</v>
      </c>
      <c r="H7" s="3" t="s">
        <v>94</v>
      </c>
      <c r="I7" s="3"/>
      <c r="J7" s="3"/>
      <c r="K7" s="3"/>
      <c r="L7" s="3"/>
    </row>
    <row r="8" spans="2:12" ht="24.95" customHeight="1">
      <c r="B8" s="3">
        <v>2</v>
      </c>
      <c r="C8" s="10" t="s">
        <v>228</v>
      </c>
      <c r="D8" s="12" t="s">
        <v>186</v>
      </c>
      <c r="E8" s="3" t="s">
        <v>75</v>
      </c>
      <c r="F8" s="3"/>
      <c r="G8" s="3"/>
      <c r="H8" s="3"/>
      <c r="I8" s="3"/>
      <c r="J8" s="3"/>
      <c r="K8" s="3"/>
      <c r="L8" s="3"/>
    </row>
    <row r="9" spans="2:12" ht="24.95" customHeight="1">
      <c r="B9" s="3">
        <v>3</v>
      </c>
      <c r="C9" s="10" t="s">
        <v>50</v>
      </c>
      <c r="D9" s="12" t="s">
        <v>172</v>
      </c>
      <c r="E9" s="3" t="s">
        <v>86</v>
      </c>
      <c r="F9" s="3" t="s">
        <v>178</v>
      </c>
      <c r="G9" s="3"/>
      <c r="H9" s="3"/>
      <c r="I9" s="3"/>
      <c r="J9" s="3"/>
      <c r="K9" s="3"/>
      <c r="L9" s="3"/>
    </row>
  </sheetData>
  <mergeCells count="12">
    <mergeCell ref="J5:K5"/>
    <mergeCell ref="L5:L6"/>
    <mergeCell ref="B2:B3"/>
    <mergeCell ref="D2:H2"/>
    <mergeCell ref="D3:H3"/>
    <mergeCell ref="C4:L4"/>
    <mergeCell ref="B5:B6"/>
    <mergeCell ref="C5:D5"/>
    <mergeCell ref="E5:F5"/>
    <mergeCell ref="G5:G6"/>
    <mergeCell ref="H5:H6"/>
    <mergeCell ref="I5:I6"/>
  </mergeCells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32A1F3D-D8E2-48E8-B0E9-6080AB7CDF4C}">
          <x14:formula1>
            <xm:f>'Data Dictionary'!$B$2:$B$3</xm:f>
          </x14:formula1>
          <xm:sqref>G7:H10</xm:sqref>
        </x14:dataValidation>
        <x14:dataValidation type="list" allowBlank="1" showInputMessage="1" showErrorMessage="1" xr:uid="{DC0B0BD0-D3EE-4CEE-B40F-F13C6206D975}">
          <x14:formula1>
            <xm:f>'Data Dictionary'!$A$2:$A$6</xm:f>
          </x14:formula1>
          <xm:sqref>E7:E10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1AEDE-8DB2-4E08-AA8C-3470E0A25DC3}">
  <dimension ref="B1:L11"/>
  <sheetViews>
    <sheetView workbookViewId="0">
      <selection activeCell="D2" sqref="D2:H2"/>
    </sheetView>
  </sheetViews>
  <sheetFormatPr defaultColWidth="10.6640625" defaultRowHeight="24.95" customHeight="1"/>
  <cols>
    <col min="1" max="1" width="3.6640625" style="2" customWidth="1"/>
    <col min="2" max="2" width="10.6640625" style="4"/>
    <col min="3" max="3" width="22.109375" style="4" customWidth="1"/>
    <col min="4" max="4" width="25.88671875" style="4" customWidth="1"/>
    <col min="5" max="5" width="19.88671875" style="4" customWidth="1"/>
    <col min="6" max="6" width="13.5546875" style="4" customWidth="1"/>
    <col min="7" max="8" width="10.6640625" style="4"/>
    <col min="9" max="9" width="15.88671875" style="4" customWidth="1"/>
    <col min="10" max="10" width="18.33203125" style="4" customWidth="1"/>
    <col min="11" max="11" width="14.33203125" style="4" customWidth="1"/>
    <col min="12" max="12" width="33.88671875" style="4" bestFit="1" customWidth="1"/>
    <col min="13" max="16384" width="10.6640625" style="2"/>
  </cols>
  <sheetData>
    <row r="1" spans="2:12" ht="24.95" customHeight="1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24.95" customHeight="1">
      <c r="B2" s="23" t="s">
        <v>14</v>
      </c>
      <c r="C2" s="5" t="s">
        <v>1</v>
      </c>
      <c r="D2" s="25" t="s">
        <v>220</v>
      </c>
      <c r="E2" s="25"/>
      <c r="F2" s="25"/>
      <c r="G2" s="25"/>
      <c r="H2" s="25"/>
      <c r="I2" s="5" t="s">
        <v>15</v>
      </c>
      <c r="J2" s="7" t="s">
        <v>72</v>
      </c>
      <c r="K2" s="5" t="s">
        <v>16</v>
      </c>
      <c r="L2" s="7"/>
    </row>
    <row r="3" spans="2:12" ht="24.95" customHeight="1">
      <c r="B3" s="23"/>
      <c r="C3" s="5" t="s">
        <v>2</v>
      </c>
      <c r="D3" s="25" t="s">
        <v>189</v>
      </c>
      <c r="E3" s="25"/>
      <c r="F3" s="25"/>
      <c r="G3" s="25"/>
      <c r="H3" s="25"/>
      <c r="I3" s="5" t="s">
        <v>13</v>
      </c>
      <c r="J3" s="9">
        <v>46262</v>
      </c>
      <c r="K3" s="5" t="s">
        <v>17</v>
      </c>
      <c r="L3" s="7"/>
    </row>
    <row r="4" spans="2:12" ht="24.95" customHeight="1" thickBot="1">
      <c r="B4" s="6" t="s">
        <v>11</v>
      </c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2:12" ht="24.95" customHeight="1" thickTop="1">
      <c r="B5" s="22" t="s">
        <v>5</v>
      </c>
      <c r="C5" s="22" t="s">
        <v>0</v>
      </c>
      <c r="D5" s="22"/>
      <c r="E5" s="22" t="s">
        <v>3</v>
      </c>
      <c r="F5" s="22"/>
      <c r="G5" s="22" t="s">
        <v>6</v>
      </c>
      <c r="H5" s="22" t="s">
        <v>7</v>
      </c>
      <c r="I5" s="22" t="s">
        <v>12</v>
      </c>
      <c r="J5" s="26" t="s">
        <v>8</v>
      </c>
      <c r="K5" s="27"/>
      <c r="L5" s="22" t="s">
        <v>11</v>
      </c>
    </row>
    <row r="6" spans="2:12" ht="24.95" customHeight="1">
      <c r="B6" s="23"/>
      <c r="C6" s="5" t="s">
        <v>1</v>
      </c>
      <c r="D6" s="5" t="s">
        <v>2</v>
      </c>
      <c r="E6" s="5" t="s">
        <v>3</v>
      </c>
      <c r="F6" s="5" t="s">
        <v>4</v>
      </c>
      <c r="G6" s="23"/>
      <c r="H6" s="23"/>
      <c r="I6" s="23"/>
      <c r="J6" s="5" t="s">
        <v>9</v>
      </c>
      <c r="K6" s="5" t="s">
        <v>10</v>
      </c>
      <c r="L6" s="23"/>
    </row>
    <row r="7" spans="2:12" ht="24.95" customHeight="1">
      <c r="B7" s="3">
        <v>1</v>
      </c>
      <c r="C7" s="8" t="s">
        <v>229</v>
      </c>
      <c r="D7" s="17" t="s">
        <v>190</v>
      </c>
      <c r="E7" s="3" t="s">
        <v>86</v>
      </c>
      <c r="F7" s="3" t="s">
        <v>178</v>
      </c>
      <c r="G7" s="3" t="s">
        <v>94</v>
      </c>
      <c r="H7" s="3" t="s">
        <v>94</v>
      </c>
      <c r="I7" s="3"/>
      <c r="J7" s="3"/>
      <c r="K7" s="3"/>
      <c r="L7" s="3" t="s">
        <v>232</v>
      </c>
    </row>
    <row r="8" spans="2:12" ht="24.95" customHeight="1">
      <c r="B8" s="3">
        <v>2</v>
      </c>
      <c r="C8" s="10" t="s">
        <v>227</v>
      </c>
      <c r="D8" s="17" t="s">
        <v>185</v>
      </c>
      <c r="E8" s="3" t="s">
        <v>86</v>
      </c>
      <c r="F8" s="3" t="s">
        <v>168</v>
      </c>
      <c r="G8" s="3"/>
      <c r="H8" s="3" t="s">
        <v>94</v>
      </c>
      <c r="I8" s="3"/>
      <c r="J8" s="3" t="s">
        <v>217</v>
      </c>
      <c r="K8" s="10" t="s">
        <v>227</v>
      </c>
      <c r="L8" s="3"/>
    </row>
    <row r="9" spans="2:12" ht="24.95" customHeight="1">
      <c r="B9" s="3">
        <v>3</v>
      </c>
      <c r="C9" s="10" t="s">
        <v>101</v>
      </c>
      <c r="D9" s="12" t="s">
        <v>57</v>
      </c>
      <c r="E9" s="3" t="s">
        <v>86</v>
      </c>
      <c r="F9" s="3" t="s">
        <v>167</v>
      </c>
      <c r="G9" s="3"/>
      <c r="H9" s="3" t="s">
        <v>94</v>
      </c>
      <c r="I9" s="3"/>
      <c r="J9" s="3" t="s">
        <v>30</v>
      </c>
      <c r="K9" s="3" t="s">
        <v>101</v>
      </c>
      <c r="L9" s="3"/>
    </row>
    <row r="10" spans="2:12" ht="24.95" customHeight="1">
      <c r="B10" s="3">
        <v>4</v>
      </c>
      <c r="C10" s="8" t="s">
        <v>220</v>
      </c>
      <c r="D10" s="3" t="s">
        <v>191</v>
      </c>
      <c r="E10" s="3" t="s">
        <v>86</v>
      </c>
      <c r="F10" s="3" t="s">
        <v>235</v>
      </c>
      <c r="G10" s="3"/>
      <c r="H10" s="3"/>
      <c r="I10" s="3"/>
      <c r="J10" s="3"/>
      <c r="K10" s="3"/>
      <c r="L10" s="3"/>
    </row>
    <row r="11" spans="2:12" ht="24.95" customHeight="1">
      <c r="B11" s="3">
        <v>5</v>
      </c>
      <c r="C11" s="7" t="s">
        <v>195</v>
      </c>
      <c r="D11" s="3" t="s">
        <v>192</v>
      </c>
      <c r="E11" s="3" t="s">
        <v>196</v>
      </c>
      <c r="F11" s="3" t="s">
        <v>193</v>
      </c>
      <c r="G11" s="3"/>
      <c r="H11" s="3"/>
      <c r="I11" s="3"/>
      <c r="J11" s="3"/>
      <c r="K11" s="3"/>
      <c r="L11" s="3"/>
    </row>
  </sheetData>
  <mergeCells count="12">
    <mergeCell ref="J5:K5"/>
    <mergeCell ref="L5:L6"/>
    <mergeCell ref="B2:B3"/>
    <mergeCell ref="D2:H2"/>
    <mergeCell ref="D3:H3"/>
    <mergeCell ref="C4:L4"/>
    <mergeCell ref="B5:B6"/>
    <mergeCell ref="C5:D5"/>
    <mergeCell ref="E5:F5"/>
    <mergeCell ref="G5:G6"/>
    <mergeCell ref="H5:H6"/>
    <mergeCell ref="I5:I6"/>
  </mergeCells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5CDD955-CF04-4881-8259-C6431F0B3C42}">
          <x14:formula1>
            <xm:f>'Data Dictionary'!$A$2:$A$6</xm:f>
          </x14:formula1>
          <xm:sqref>E7:E11</xm:sqref>
        </x14:dataValidation>
        <x14:dataValidation type="list" allowBlank="1" showInputMessage="1" showErrorMessage="1" xr:uid="{956D3052-74DE-4035-9DF4-F83E36815082}">
          <x14:formula1>
            <xm:f>'Data Dictionary'!$B$2:$B$3</xm:f>
          </x14:formula1>
          <xm:sqref>G7:H11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808F8-DB7A-401B-A57B-0474AF9A9996}">
  <dimension ref="B1:L10"/>
  <sheetViews>
    <sheetView workbookViewId="0">
      <selection activeCell="D2" sqref="D2:H2"/>
    </sheetView>
  </sheetViews>
  <sheetFormatPr defaultColWidth="10.6640625" defaultRowHeight="24.95" customHeight="1"/>
  <cols>
    <col min="1" max="1" width="3.6640625" style="2" customWidth="1"/>
    <col min="2" max="2" width="10.6640625" style="4"/>
    <col min="3" max="3" width="22.109375" style="4" customWidth="1"/>
    <col min="4" max="4" width="25.88671875" style="4" customWidth="1"/>
    <col min="5" max="5" width="19.88671875" style="4" customWidth="1"/>
    <col min="6" max="6" width="13.5546875" style="4" customWidth="1"/>
    <col min="7" max="8" width="10.6640625" style="4"/>
    <col min="9" max="9" width="15.88671875" style="4" customWidth="1"/>
    <col min="10" max="10" width="18.33203125" style="4" customWidth="1"/>
    <col min="11" max="11" width="14.33203125" style="4" customWidth="1"/>
    <col min="12" max="12" width="33.88671875" style="4" bestFit="1" customWidth="1"/>
    <col min="13" max="16384" width="10.6640625" style="2"/>
  </cols>
  <sheetData>
    <row r="1" spans="2:12" ht="24.95" customHeight="1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24.95" customHeight="1">
      <c r="B2" s="23" t="s">
        <v>14</v>
      </c>
      <c r="C2" s="5" t="s">
        <v>1</v>
      </c>
      <c r="D2" s="25" t="s">
        <v>223</v>
      </c>
      <c r="E2" s="25"/>
      <c r="F2" s="25"/>
      <c r="G2" s="25"/>
      <c r="H2" s="25"/>
      <c r="I2" s="5" t="s">
        <v>15</v>
      </c>
      <c r="J2" s="7" t="s">
        <v>72</v>
      </c>
      <c r="K2" s="5" t="s">
        <v>16</v>
      </c>
      <c r="L2" s="7"/>
    </row>
    <row r="3" spans="2:12" ht="24.95" customHeight="1">
      <c r="B3" s="23"/>
      <c r="C3" s="5" t="s">
        <v>2</v>
      </c>
      <c r="D3" s="25" t="s">
        <v>198</v>
      </c>
      <c r="E3" s="25"/>
      <c r="F3" s="25"/>
      <c r="G3" s="25"/>
      <c r="H3" s="25"/>
      <c r="I3" s="5" t="s">
        <v>13</v>
      </c>
      <c r="J3" s="9">
        <v>46262</v>
      </c>
      <c r="K3" s="5" t="s">
        <v>17</v>
      </c>
      <c r="L3" s="7"/>
    </row>
    <row r="4" spans="2:12" ht="24.95" customHeight="1" thickBot="1">
      <c r="B4" s="6" t="s">
        <v>11</v>
      </c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2:12" ht="24.95" customHeight="1" thickTop="1">
      <c r="B5" s="22" t="s">
        <v>5</v>
      </c>
      <c r="C5" s="22" t="s">
        <v>0</v>
      </c>
      <c r="D5" s="22"/>
      <c r="E5" s="22" t="s">
        <v>3</v>
      </c>
      <c r="F5" s="22"/>
      <c r="G5" s="22" t="s">
        <v>6</v>
      </c>
      <c r="H5" s="22" t="s">
        <v>7</v>
      </c>
      <c r="I5" s="22" t="s">
        <v>12</v>
      </c>
      <c r="J5" s="26" t="s">
        <v>8</v>
      </c>
      <c r="K5" s="27"/>
      <c r="L5" s="22" t="s">
        <v>11</v>
      </c>
    </row>
    <row r="6" spans="2:12" ht="24.95" customHeight="1">
      <c r="B6" s="23"/>
      <c r="C6" s="5" t="s">
        <v>1</v>
      </c>
      <c r="D6" s="5" t="s">
        <v>2</v>
      </c>
      <c r="E6" s="5" t="s">
        <v>3</v>
      </c>
      <c r="F6" s="5" t="s">
        <v>4</v>
      </c>
      <c r="G6" s="23"/>
      <c r="H6" s="23"/>
      <c r="I6" s="23"/>
      <c r="J6" s="5" t="s">
        <v>9</v>
      </c>
      <c r="K6" s="5" t="s">
        <v>10</v>
      </c>
      <c r="L6" s="23"/>
    </row>
    <row r="7" spans="2:12" ht="24.95" customHeight="1">
      <c r="B7" s="3">
        <v>1</v>
      </c>
      <c r="C7" s="8" t="s">
        <v>231</v>
      </c>
      <c r="D7" s="17" t="s">
        <v>230</v>
      </c>
      <c r="E7" s="3" t="s">
        <v>86</v>
      </c>
      <c r="F7" s="3" t="s">
        <v>178</v>
      </c>
      <c r="G7" s="3" t="s">
        <v>94</v>
      </c>
      <c r="H7" s="3" t="s">
        <v>94</v>
      </c>
      <c r="I7" s="3"/>
      <c r="J7" s="3"/>
      <c r="K7" s="3"/>
      <c r="L7" s="3" t="s">
        <v>233</v>
      </c>
    </row>
    <row r="8" spans="2:12" ht="24.95" customHeight="1">
      <c r="B8" s="3">
        <v>2</v>
      </c>
      <c r="C8" s="10" t="s">
        <v>227</v>
      </c>
      <c r="D8" s="17" t="s">
        <v>185</v>
      </c>
      <c r="E8" s="3" t="s">
        <v>86</v>
      </c>
      <c r="F8" s="3" t="s">
        <v>168</v>
      </c>
      <c r="G8" s="3"/>
      <c r="H8" s="3" t="s">
        <v>94</v>
      </c>
      <c r="I8" s="3"/>
      <c r="J8" s="10" t="s">
        <v>218</v>
      </c>
      <c r="K8" s="10" t="s">
        <v>227</v>
      </c>
      <c r="L8" s="3"/>
    </row>
    <row r="9" spans="2:12" ht="24.95" customHeight="1">
      <c r="B9" s="3">
        <v>3</v>
      </c>
      <c r="C9" s="10" t="s">
        <v>101</v>
      </c>
      <c r="D9" s="12" t="s">
        <v>57</v>
      </c>
      <c r="E9" s="3" t="s">
        <v>86</v>
      </c>
      <c r="F9" s="3" t="s">
        <v>167</v>
      </c>
      <c r="G9" s="3"/>
      <c r="H9" s="3" t="s">
        <v>94</v>
      </c>
      <c r="I9" s="3"/>
      <c r="J9" s="10" t="s">
        <v>30</v>
      </c>
      <c r="K9" s="10" t="s">
        <v>101</v>
      </c>
      <c r="L9" s="3"/>
    </row>
    <row r="10" spans="2:12" ht="24.95" customHeight="1">
      <c r="B10" s="3">
        <v>4</v>
      </c>
      <c r="C10" s="7" t="s">
        <v>221</v>
      </c>
      <c r="D10" s="12" t="s">
        <v>243</v>
      </c>
      <c r="E10" s="3" t="s">
        <v>86</v>
      </c>
      <c r="F10" s="3" t="s">
        <v>235</v>
      </c>
      <c r="G10" s="3"/>
      <c r="H10" s="3"/>
      <c r="I10" s="3"/>
      <c r="J10" s="3"/>
      <c r="K10" s="3"/>
      <c r="L10" s="3"/>
    </row>
  </sheetData>
  <mergeCells count="12">
    <mergeCell ref="J5:K5"/>
    <mergeCell ref="L5:L6"/>
    <mergeCell ref="B2:B3"/>
    <mergeCell ref="D2:H2"/>
    <mergeCell ref="D3:H3"/>
    <mergeCell ref="C4:L4"/>
    <mergeCell ref="B5:B6"/>
    <mergeCell ref="C5:D5"/>
    <mergeCell ref="E5:F5"/>
    <mergeCell ref="G5:G6"/>
    <mergeCell ref="H5:H6"/>
    <mergeCell ref="I5:I6"/>
  </mergeCells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04E4A2E-A0FA-4061-8D01-505F678118D0}">
          <x14:formula1>
            <xm:f>'Data Dictionary'!$B$2:$B$3</xm:f>
          </x14:formula1>
          <xm:sqref>G7:H10</xm:sqref>
        </x14:dataValidation>
        <x14:dataValidation type="list" allowBlank="1" showInputMessage="1" showErrorMessage="1" xr:uid="{A61A396B-B502-4815-BF0C-97DDFF7FC1DE}">
          <x14:formula1>
            <xm:f>'Data Dictionary'!$A$2:$A$6</xm:f>
          </x14:formula1>
          <xm:sqref>E7:E10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8399E-03CB-4C0C-BCB5-42B3B5D6FF23}">
  <dimension ref="B1:L9"/>
  <sheetViews>
    <sheetView topLeftCell="C1" workbookViewId="0">
      <selection activeCell="D2" sqref="D2:H2"/>
    </sheetView>
  </sheetViews>
  <sheetFormatPr defaultColWidth="10.6640625" defaultRowHeight="24.95" customHeight="1"/>
  <cols>
    <col min="1" max="1" width="3.6640625" style="2" customWidth="1"/>
    <col min="2" max="2" width="10.6640625" style="4"/>
    <col min="3" max="3" width="22.109375" style="4" customWidth="1"/>
    <col min="4" max="4" width="25.88671875" style="4" customWidth="1"/>
    <col min="5" max="5" width="19.88671875" style="4" customWidth="1"/>
    <col min="6" max="6" width="13.5546875" style="4" customWidth="1"/>
    <col min="7" max="8" width="10.6640625" style="4"/>
    <col min="9" max="9" width="15.88671875" style="4" customWidth="1"/>
    <col min="10" max="10" width="18.33203125" style="4" customWidth="1"/>
    <col min="11" max="11" width="14.33203125" style="4" customWidth="1"/>
    <col min="12" max="12" width="33.88671875" style="4" bestFit="1" customWidth="1"/>
    <col min="13" max="16384" width="10.6640625" style="2"/>
  </cols>
  <sheetData>
    <row r="1" spans="2:12" ht="24.95" customHeight="1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24.95" customHeight="1">
      <c r="B2" s="23" t="s">
        <v>14</v>
      </c>
      <c r="C2" s="5" t="s">
        <v>1</v>
      </c>
      <c r="D2" s="25" t="s">
        <v>224</v>
      </c>
      <c r="E2" s="25"/>
      <c r="F2" s="25"/>
      <c r="G2" s="25"/>
      <c r="H2" s="25"/>
      <c r="I2" s="5" t="s">
        <v>15</v>
      </c>
      <c r="J2" s="7" t="s">
        <v>72</v>
      </c>
      <c r="K2" s="5" t="s">
        <v>16</v>
      </c>
      <c r="L2" s="7"/>
    </row>
    <row r="3" spans="2:12" ht="24.95" customHeight="1">
      <c r="B3" s="23"/>
      <c r="C3" s="5" t="s">
        <v>2</v>
      </c>
      <c r="D3" s="25" t="s">
        <v>214</v>
      </c>
      <c r="E3" s="25"/>
      <c r="F3" s="25"/>
      <c r="G3" s="25"/>
      <c r="H3" s="25"/>
      <c r="I3" s="5" t="s">
        <v>13</v>
      </c>
      <c r="J3" s="9">
        <v>46262</v>
      </c>
      <c r="K3" s="5" t="s">
        <v>17</v>
      </c>
      <c r="L3" s="7"/>
    </row>
    <row r="4" spans="2:12" ht="24.95" customHeight="1" thickBot="1">
      <c r="B4" s="6" t="s">
        <v>11</v>
      </c>
      <c r="C4" s="24" t="s">
        <v>246</v>
      </c>
      <c r="D4" s="24"/>
      <c r="E4" s="24"/>
      <c r="F4" s="24"/>
      <c r="G4" s="24"/>
      <c r="H4" s="24"/>
      <c r="I4" s="24"/>
      <c r="J4" s="24"/>
      <c r="K4" s="24"/>
      <c r="L4" s="24"/>
    </row>
    <row r="5" spans="2:12" ht="24.95" customHeight="1" thickTop="1">
      <c r="B5" s="22" t="s">
        <v>5</v>
      </c>
      <c r="C5" s="22" t="s">
        <v>0</v>
      </c>
      <c r="D5" s="22"/>
      <c r="E5" s="22" t="s">
        <v>3</v>
      </c>
      <c r="F5" s="22"/>
      <c r="G5" s="22" t="s">
        <v>6</v>
      </c>
      <c r="H5" s="22" t="s">
        <v>7</v>
      </c>
      <c r="I5" s="22" t="s">
        <v>12</v>
      </c>
      <c r="J5" s="26" t="s">
        <v>8</v>
      </c>
      <c r="K5" s="27"/>
      <c r="L5" s="22" t="s">
        <v>11</v>
      </c>
    </row>
    <row r="6" spans="2:12" ht="24.95" customHeight="1">
      <c r="B6" s="23"/>
      <c r="C6" s="5" t="s">
        <v>1</v>
      </c>
      <c r="D6" s="5" t="s">
        <v>2</v>
      </c>
      <c r="E6" s="5" t="s">
        <v>3</v>
      </c>
      <c r="F6" s="5" t="s">
        <v>4</v>
      </c>
      <c r="G6" s="23"/>
      <c r="H6" s="23"/>
      <c r="I6" s="23"/>
      <c r="J6" s="5" t="s">
        <v>9</v>
      </c>
      <c r="K6" s="5" t="s">
        <v>10</v>
      </c>
      <c r="L6" s="23"/>
    </row>
    <row r="7" spans="2:12" ht="24.95" customHeight="1">
      <c r="B7" s="3">
        <v>1</v>
      </c>
      <c r="C7" s="8" t="s">
        <v>239</v>
      </c>
      <c r="D7" s="17" t="s">
        <v>234</v>
      </c>
      <c r="E7" s="3" t="s">
        <v>86</v>
      </c>
      <c r="F7" s="3" t="s">
        <v>235</v>
      </c>
      <c r="G7" s="3" t="s">
        <v>94</v>
      </c>
      <c r="H7" s="3" t="s">
        <v>94</v>
      </c>
      <c r="I7" s="3"/>
      <c r="J7" s="3"/>
      <c r="K7" s="3"/>
      <c r="L7" s="3"/>
    </row>
    <row r="8" spans="2:12" ht="24.95" customHeight="1">
      <c r="B8" s="13">
        <v>2</v>
      </c>
      <c r="C8" s="20" t="s">
        <v>224</v>
      </c>
      <c r="D8" s="15" t="s">
        <v>244</v>
      </c>
      <c r="E8" s="13" t="s">
        <v>86</v>
      </c>
      <c r="F8" s="13" t="s">
        <v>235</v>
      </c>
      <c r="G8" s="13"/>
      <c r="H8" s="13" t="s">
        <v>94</v>
      </c>
      <c r="I8" s="13"/>
      <c r="J8" s="13"/>
      <c r="K8" s="13"/>
      <c r="L8" s="13"/>
    </row>
    <row r="9" spans="2:12" ht="24.95" customHeight="1">
      <c r="B9" s="16"/>
      <c r="C9" s="16"/>
      <c r="D9" s="21"/>
      <c r="E9" s="16"/>
      <c r="F9" s="16"/>
      <c r="G9" s="16"/>
      <c r="H9" s="16"/>
      <c r="I9" s="16"/>
      <c r="J9" s="16"/>
      <c r="K9" s="16"/>
      <c r="L9" s="16"/>
    </row>
  </sheetData>
  <mergeCells count="12">
    <mergeCell ref="J5:K5"/>
    <mergeCell ref="L5:L6"/>
    <mergeCell ref="B2:B3"/>
    <mergeCell ref="D2:H2"/>
    <mergeCell ref="D3:H3"/>
    <mergeCell ref="C4:L4"/>
    <mergeCell ref="B5:B6"/>
    <mergeCell ref="C5:D5"/>
    <mergeCell ref="E5:F5"/>
    <mergeCell ref="G5:G6"/>
    <mergeCell ref="H5:H6"/>
    <mergeCell ref="I5:I6"/>
  </mergeCells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0A6FA88-E3E0-44BB-AAE8-8F1F2CDCC48D}">
          <x14:formula1>
            <xm:f>'Data Dictionary'!$A$2:$A$6</xm:f>
          </x14:formula1>
          <xm:sqref>E7:E10</xm:sqref>
        </x14:dataValidation>
        <x14:dataValidation type="list" allowBlank="1" showInputMessage="1" showErrorMessage="1" xr:uid="{09F1B396-0B24-430D-88D7-8EB21301E434}">
          <x14:formula1>
            <xm:f>'Data Dictionary'!$B$2:$B$3</xm:f>
          </x14:formula1>
          <xm:sqref>G7:H10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F0ED-6FE1-4A15-A418-4BC7A13AC989}">
  <dimension ref="B1:L9"/>
  <sheetViews>
    <sheetView workbookViewId="0">
      <selection activeCell="D2" sqref="D2:H2"/>
    </sheetView>
  </sheetViews>
  <sheetFormatPr defaultColWidth="10.6640625" defaultRowHeight="24.95" customHeight="1"/>
  <cols>
    <col min="1" max="1" width="3.6640625" style="2" customWidth="1"/>
    <col min="2" max="2" width="10.6640625" style="4"/>
    <col min="3" max="3" width="22.109375" style="4" customWidth="1"/>
    <col min="4" max="4" width="25.88671875" style="4" customWidth="1"/>
    <col min="5" max="5" width="19.88671875" style="4" customWidth="1"/>
    <col min="6" max="6" width="13.5546875" style="4" customWidth="1"/>
    <col min="7" max="8" width="10.6640625" style="4"/>
    <col min="9" max="9" width="15.88671875" style="4" customWidth="1"/>
    <col min="10" max="10" width="18.33203125" style="4" customWidth="1"/>
    <col min="11" max="11" width="14.33203125" style="4" customWidth="1"/>
    <col min="12" max="12" width="33.88671875" style="4" bestFit="1" customWidth="1"/>
    <col min="13" max="16384" width="10.6640625" style="2"/>
  </cols>
  <sheetData>
    <row r="1" spans="2:12" ht="24.95" customHeight="1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24.95" customHeight="1">
      <c r="B2" s="23" t="s">
        <v>14</v>
      </c>
      <c r="C2" s="5" t="s">
        <v>1</v>
      </c>
      <c r="D2" s="25" t="s">
        <v>236</v>
      </c>
      <c r="E2" s="25"/>
      <c r="F2" s="25"/>
      <c r="G2" s="25"/>
      <c r="H2" s="25"/>
      <c r="I2" s="5" t="s">
        <v>15</v>
      </c>
      <c r="J2" s="7" t="s">
        <v>72</v>
      </c>
      <c r="K2" s="5" t="s">
        <v>16</v>
      </c>
      <c r="L2" s="7"/>
    </row>
    <row r="3" spans="2:12" ht="24.95" customHeight="1">
      <c r="B3" s="23"/>
      <c r="C3" s="5" t="s">
        <v>2</v>
      </c>
      <c r="D3" s="25" t="s">
        <v>237</v>
      </c>
      <c r="E3" s="25"/>
      <c r="F3" s="25"/>
      <c r="G3" s="25"/>
      <c r="H3" s="25"/>
      <c r="I3" s="5" t="s">
        <v>13</v>
      </c>
      <c r="J3" s="9">
        <v>46262</v>
      </c>
      <c r="K3" s="5" t="s">
        <v>17</v>
      </c>
      <c r="L3" s="7"/>
    </row>
    <row r="4" spans="2:12" ht="24.95" customHeight="1" thickBot="1">
      <c r="B4" s="6" t="s">
        <v>11</v>
      </c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2:12" ht="24.95" customHeight="1" thickTop="1">
      <c r="B5" s="22" t="s">
        <v>5</v>
      </c>
      <c r="C5" s="22" t="s">
        <v>0</v>
      </c>
      <c r="D5" s="22"/>
      <c r="E5" s="22" t="s">
        <v>3</v>
      </c>
      <c r="F5" s="22"/>
      <c r="G5" s="22" t="s">
        <v>6</v>
      </c>
      <c r="H5" s="22" t="s">
        <v>7</v>
      </c>
      <c r="I5" s="22" t="s">
        <v>12</v>
      </c>
      <c r="J5" s="26" t="s">
        <v>8</v>
      </c>
      <c r="K5" s="27"/>
      <c r="L5" s="22" t="s">
        <v>11</v>
      </c>
    </row>
    <row r="6" spans="2:12" ht="24.95" customHeight="1">
      <c r="B6" s="23"/>
      <c r="C6" s="5" t="s">
        <v>1</v>
      </c>
      <c r="D6" s="5" t="s">
        <v>2</v>
      </c>
      <c r="E6" s="5" t="s">
        <v>3</v>
      </c>
      <c r="F6" s="5" t="s">
        <v>4</v>
      </c>
      <c r="G6" s="23"/>
      <c r="H6" s="23"/>
      <c r="I6" s="23"/>
      <c r="J6" s="5" t="s">
        <v>9</v>
      </c>
      <c r="K6" s="5" t="s">
        <v>10</v>
      </c>
      <c r="L6" s="23"/>
    </row>
    <row r="7" spans="2:12" ht="24.95" customHeight="1">
      <c r="B7" s="3">
        <v>1</v>
      </c>
      <c r="C7" s="10" t="s">
        <v>236</v>
      </c>
      <c r="D7" s="17" t="s">
        <v>238</v>
      </c>
      <c r="E7" s="3" t="s">
        <v>86</v>
      </c>
      <c r="F7" s="3" t="s">
        <v>178</v>
      </c>
      <c r="G7" s="3" t="s">
        <v>94</v>
      </c>
      <c r="H7" s="3" t="s">
        <v>94</v>
      </c>
      <c r="I7" s="3"/>
      <c r="J7" s="3"/>
      <c r="K7" s="3"/>
      <c r="L7" s="3" t="s">
        <v>259</v>
      </c>
    </row>
    <row r="8" spans="2:12" ht="24.95" customHeight="1">
      <c r="B8" s="3">
        <v>2</v>
      </c>
      <c r="C8" s="8" t="s">
        <v>239</v>
      </c>
      <c r="D8" s="17" t="s">
        <v>234</v>
      </c>
      <c r="E8" s="3" t="s">
        <v>86</v>
      </c>
      <c r="F8" s="3" t="s">
        <v>235</v>
      </c>
      <c r="G8" s="3"/>
      <c r="H8" s="3"/>
      <c r="I8" s="3"/>
      <c r="J8" s="3" t="s">
        <v>224</v>
      </c>
      <c r="K8" s="8" t="s">
        <v>239</v>
      </c>
      <c r="L8" s="3"/>
    </row>
    <row r="9" spans="2:12" ht="24.95" customHeight="1">
      <c r="B9" s="3">
        <v>3</v>
      </c>
      <c r="C9" s="10" t="s">
        <v>101</v>
      </c>
      <c r="D9" s="12" t="s">
        <v>57</v>
      </c>
      <c r="E9" s="3" t="s">
        <v>86</v>
      </c>
      <c r="F9" s="3" t="s">
        <v>167</v>
      </c>
      <c r="G9" s="3"/>
      <c r="H9" s="3"/>
      <c r="I9" s="3"/>
      <c r="J9" s="10" t="s">
        <v>30</v>
      </c>
      <c r="K9" s="10" t="s">
        <v>101</v>
      </c>
      <c r="L9" s="3"/>
    </row>
  </sheetData>
  <mergeCells count="12">
    <mergeCell ref="J5:K5"/>
    <mergeCell ref="L5:L6"/>
    <mergeCell ref="B2:B3"/>
    <mergeCell ref="D2:H2"/>
    <mergeCell ref="D3:H3"/>
    <mergeCell ref="C4:L4"/>
    <mergeCell ref="B5:B6"/>
    <mergeCell ref="C5:D5"/>
    <mergeCell ref="E5:F5"/>
    <mergeCell ref="G5:G6"/>
    <mergeCell ref="H5:H6"/>
    <mergeCell ref="I5:I6"/>
  </mergeCells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B72FA79-DF58-4CA5-99A3-905FB9740DD0}">
          <x14:formula1>
            <xm:f>'Data Dictionary'!$A$2:$A$6</xm:f>
          </x14:formula1>
          <xm:sqref>E7:E10</xm:sqref>
        </x14:dataValidation>
        <x14:dataValidation type="list" allowBlank="1" showInputMessage="1" showErrorMessage="1" xr:uid="{68B6F99D-8040-4273-931B-A629EC5B23E6}">
          <x14:formula1>
            <xm:f>'Data Dictionary'!$B$2:$B$3</xm:f>
          </x14:formula1>
          <xm:sqref>G7:H10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06F04-D1F0-4FE0-99E7-4715DF0D3698}">
  <dimension ref="B1:L9"/>
  <sheetViews>
    <sheetView tabSelected="1" workbookViewId="0">
      <selection activeCell="D2" sqref="D2:H2"/>
    </sheetView>
  </sheetViews>
  <sheetFormatPr defaultColWidth="10.6640625" defaultRowHeight="24.95" customHeight="1"/>
  <cols>
    <col min="1" max="1" width="3.6640625" style="2" customWidth="1"/>
    <col min="2" max="2" width="10.6640625" style="4"/>
    <col min="3" max="3" width="22.109375" style="4" customWidth="1"/>
    <col min="4" max="4" width="25.88671875" style="4" customWidth="1"/>
    <col min="5" max="5" width="19.88671875" style="4" customWidth="1"/>
    <col min="6" max="6" width="13.5546875" style="4" customWidth="1"/>
    <col min="7" max="8" width="10.6640625" style="4"/>
    <col min="9" max="9" width="15.88671875" style="4" customWidth="1"/>
    <col min="10" max="10" width="18.33203125" style="4" customWidth="1"/>
    <col min="11" max="11" width="14.33203125" style="4" customWidth="1"/>
    <col min="12" max="12" width="33.88671875" style="4" bestFit="1" customWidth="1"/>
    <col min="13" max="16384" width="10.6640625" style="2"/>
  </cols>
  <sheetData>
    <row r="1" spans="2:12" ht="24.95" customHeight="1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24.95" customHeight="1">
      <c r="B2" s="23" t="s">
        <v>14</v>
      </c>
      <c r="C2" s="5" t="s">
        <v>1</v>
      </c>
      <c r="D2" s="25" t="s">
        <v>225</v>
      </c>
      <c r="E2" s="25"/>
      <c r="F2" s="25"/>
      <c r="G2" s="25"/>
      <c r="H2" s="25"/>
      <c r="I2" s="5" t="s">
        <v>15</v>
      </c>
      <c r="J2" s="7" t="s">
        <v>72</v>
      </c>
      <c r="K2" s="5" t="s">
        <v>16</v>
      </c>
      <c r="L2" s="7"/>
    </row>
    <row r="3" spans="2:12" ht="24.95" customHeight="1">
      <c r="B3" s="23"/>
      <c r="C3" s="5" t="s">
        <v>2</v>
      </c>
      <c r="D3" s="25" t="s">
        <v>240</v>
      </c>
      <c r="E3" s="25"/>
      <c r="F3" s="25"/>
      <c r="G3" s="25"/>
      <c r="H3" s="25"/>
      <c r="I3" s="5" t="s">
        <v>13</v>
      </c>
      <c r="J3" s="9">
        <v>46262</v>
      </c>
      <c r="K3" s="5" t="s">
        <v>17</v>
      </c>
      <c r="L3" s="7"/>
    </row>
    <row r="4" spans="2:12" ht="24.95" customHeight="1" thickBot="1">
      <c r="B4" s="6" t="s">
        <v>11</v>
      </c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2:12" ht="24.95" customHeight="1" thickTop="1">
      <c r="B5" s="22" t="s">
        <v>5</v>
      </c>
      <c r="C5" s="22" t="s">
        <v>0</v>
      </c>
      <c r="D5" s="22"/>
      <c r="E5" s="22" t="s">
        <v>3</v>
      </c>
      <c r="F5" s="22"/>
      <c r="G5" s="22" t="s">
        <v>6</v>
      </c>
      <c r="H5" s="22" t="s">
        <v>7</v>
      </c>
      <c r="I5" s="22" t="s">
        <v>12</v>
      </c>
      <c r="J5" s="26" t="s">
        <v>8</v>
      </c>
      <c r="K5" s="27"/>
      <c r="L5" s="22" t="s">
        <v>11</v>
      </c>
    </row>
    <row r="6" spans="2:12" ht="24.95" customHeight="1">
      <c r="B6" s="23"/>
      <c r="C6" s="5" t="s">
        <v>1</v>
      </c>
      <c r="D6" s="5" t="s">
        <v>2</v>
      </c>
      <c r="E6" s="5" t="s">
        <v>3</v>
      </c>
      <c r="F6" s="5" t="s">
        <v>4</v>
      </c>
      <c r="G6" s="23"/>
      <c r="H6" s="23"/>
      <c r="I6" s="23"/>
      <c r="J6" s="5" t="s">
        <v>9</v>
      </c>
      <c r="K6" s="5" t="s">
        <v>10</v>
      </c>
      <c r="L6" s="23"/>
    </row>
    <row r="7" spans="2:12" ht="24.95" customHeight="1">
      <c r="B7" s="3">
        <v>1</v>
      </c>
      <c r="C7" s="10" t="s">
        <v>251</v>
      </c>
      <c r="D7" s="17" t="s">
        <v>241</v>
      </c>
      <c r="E7" s="3" t="s">
        <v>86</v>
      </c>
      <c r="F7" s="3" t="s">
        <v>178</v>
      </c>
      <c r="G7" s="3" t="s">
        <v>94</v>
      </c>
      <c r="H7" s="3" t="s">
        <v>94</v>
      </c>
      <c r="I7" s="3"/>
      <c r="J7" s="3"/>
      <c r="K7" s="3"/>
      <c r="L7" s="3" t="s">
        <v>255</v>
      </c>
    </row>
    <row r="8" spans="2:12" ht="24.95" customHeight="1">
      <c r="B8" s="3">
        <v>2</v>
      </c>
      <c r="C8" s="10" t="s">
        <v>252</v>
      </c>
      <c r="D8" s="12" t="s">
        <v>245</v>
      </c>
      <c r="E8" s="3" t="s">
        <v>75</v>
      </c>
      <c r="F8" s="3"/>
      <c r="G8" s="3"/>
      <c r="H8" s="3" t="s">
        <v>94</v>
      </c>
      <c r="I8" s="3"/>
      <c r="J8" s="3"/>
      <c r="K8" s="3"/>
      <c r="L8" s="3"/>
    </row>
    <row r="9" spans="2:12" ht="24.95" customHeight="1">
      <c r="B9" s="3">
        <v>3</v>
      </c>
      <c r="C9" s="10" t="s">
        <v>101</v>
      </c>
      <c r="D9" s="12" t="s">
        <v>57</v>
      </c>
      <c r="E9" s="3" t="s">
        <v>86</v>
      </c>
      <c r="F9" s="3" t="s">
        <v>167</v>
      </c>
      <c r="G9" s="3"/>
      <c r="H9" s="3" t="s">
        <v>94</v>
      </c>
      <c r="I9" s="3"/>
      <c r="J9" s="3" t="s">
        <v>30</v>
      </c>
      <c r="K9" s="3" t="s">
        <v>101</v>
      </c>
      <c r="L9" s="3"/>
    </row>
  </sheetData>
  <mergeCells count="12">
    <mergeCell ref="J5:K5"/>
    <mergeCell ref="L5:L6"/>
    <mergeCell ref="B2:B3"/>
    <mergeCell ref="D2:H2"/>
    <mergeCell ref="D3:H3"/>
    <mergeCell ref="C4:L4"/>
    <mergeCell ref="B5:B6"/>
    <mergeCell ref="C5:D5"/>
    <mergeCell ref="E5:F5"/>
    <mergeCell ref="G5:G6"/>
    <mergeCell ref="H5:H6"/>
    <mergeCell ref="I5:I6"/>
  </mergeCells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8068A4E-DAA1-4602-90A8-510CC2333498}">
          <x14:formula1>
            <xm:f>'Data Dictionary'!$B$2:$B$3</xm:f>
          </x14:formula1>
          <xm:sqref>G7:H10</xm:sqref>
        </x14:dataValidation>
        <x14:dataValidation type="list" allowBlank="1" showInputMessage="1" showErrorMessage="1" xr:uid="{6A2957B3-E86A-45CF-A7AD-037C39A858E2}">
          <x14:formula1>
            <xm:f>'Data Dictionary'!$A$2:$A$6</xm:f>
          </x14:formula1>
          <xm:sqref>E7:E10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1BDAE-1E26-4526-84AC-BC310F69A72E}">
  <dimension ref="B1:L9"/>
  <sheetViews>
    <sheetView workbookViewId="0">
      <selection activeCell="D2" sqref="D2:H2"/>
    </sheetView>
  </sheetViews>
  <sheetFormatPr defaultColWidth="10.6640625" defaultRowHeight="24.95" customHeight="1"/>
  <cols>
    <col min="1" max="1" width="3.6640625" style="2" customWidth="1"/>
    <col min="2" max="2" width="10.6640625" style="4"/>
    <col min="3" max="3" width="22.109375" style="4" customWidth="1"/>
    <col min="4" max="4" width="25.88671875" style="4" customWidth="1"/>
    <col min="5" max="5" width="19.88671875" style="4" customWidth="1"/>
    <col min="6" max="6" width="13.5546875" style="4" customWidth="1"/>
    <col min="7" max="8" width="10.6640625" style="4"/>
    <col min="9" max="9" width="15.88671875" style="4" customWidth="1"/>
    <col min="10" max="10" width="18.33203125" style="4" customWidth="1"/>
    <col min="11" max="11" width="14.33203125" style="4" customWidth="1"/>
    <col min="12" max="12" width="33.88671875" style="4" bestFit="1" customWidth="1"/>
    <col min="13" max="16384" width="10.6640625" style="2"/>
  </cols>
  <sheetData>
    <row r="1" spans="2:12" ht="24.95" customHeight="1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24.95" customHeight="1">
      <c r="B2" s="23" t="s">
        <v>14</v>
      </c>
      <c r="C2" s="5" t="s">
        <v>1</v>
      </c>
      <c r="D2" s="25" t="s">
        <v>226</v>
      </c>
      <c r="E2" s="25"/>
      <c r="F2" s="25"/>
      <c r="G2" s="25"/>
      <c r="H2" s="25"/>
      <c r="I2" s="5" t="s">
        <v>15</v>
      </c>
      <c r="J2" s="7" t="s">
        <v>72</v>
      </c>
      <c r="K2" s="5" t="s">
        <v>16</v>
      </c>
      <c r="L2" s="7"/>
    </row>
    <row r="3" spans="2:12" ht="24.95" customHeight="1">
      <c r="B3" s="23"/>
      <c r="C3" s="5" t="s">
        <v>2</v>
      </c>
      <c r="D3" s="25"/>
      <c r="E3" s="25"/>
      <c r="F3" s="25"/>
      <c r="G3" s="25"/>
      <c r="H3" s="25"/>
      <c r="I3" s="5" t="s">
        <v>13</v>
      </c>
      <c r="J3" s="9">
        <v>46262</v>
      </c>
      <c r="K3" s="5" t="s">
        <v>17</v>
      </c>
      <c r="L3" s="7"/>
    </row>
    <row r="4" spans="2:12" ht="24.95" customHeight="1" thickBot="1">
      <c r="B4" s="6" t="s">
        <v>11</v>
      </c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2:12" ht="24.95" customHeight="1" thickTop="1">
      <c r="B5" s="22" t="s">
        <v>5</v>
      </c>
      <c r="C5" s="22" t="s">
        <v>0</v>
      </c>
      <c r="D5" s="22"/>
      <c r="E5" s="22" t="s">
        <v>3</v>
      </c>
      <c r="F5" s="22"/>
      <c r="G5" s="22" t="s">
        <v>6</v>
      </c>
      <c r="H5" s="22" t="s">
        <v>7</v>
      </c>
      <c r="I5" s="22" t="s">
        <v>12</v>
      </c>
      <c r="J5" s="26" t="s">
        <v>8</v>
      </c>
      <c r="K5" s="27"/>
      <c r="L5" s="22" t="s">
        <v>11</v>
      </c>
    </row>
    <row r="6" spans="2:12" ht="24.95" customHeight="1">
      <c r="B6" s="23"/>
      <c r="C6" s="5" t="s">
        <v>1</v>
      </c>
      <c r="D6" s="5" t="s">
        <v>2</v>
      </c>
      <c r="E6" s="5" t="s">
        <v>3</v>
      </c>
      <c r="F6" s="5" t="s">
        <v>4</v>
      </c>
      <c r="G6" s="23"/>
      <c r="H6" s="23"/>
      <c r="I6" s="23"/>
      <c r="J6" s="5" t="s">
        <v>9</v>
      </c>
      <c r="K6" s="5" t="s">
        <v>10</v>
      </c>
      <c r="L6" s="23"/>
    </row>
    <row r="7" spans="2:12" ht="24.95" customHeight="1">
      <c r="B7" s="3">
        <v>1</v>
      </c>
      <c r="C7" s="8" t="s">
        <v>253</v>
      </c>
      <c r="D7" s="17" t="s">
        <v>247</v>
      </c>
      <c r="E7" s="3" t="s">
        <v>86</v>
      </c>
      <c r="F7" s="3" t="s">
        <v>178</v>
      </c>
      <c r="G7" s="3" t="s">
        <v>94</v>
      </c>
      <c r="H7" s="3" t="s">
        <v>94</v>
      </c>
      <c r="I7" s="3"/>
      <c r="J7" s="3"/>
      <c r="K7" s="3"/>
      <c r="L7" s="3" t="s">
        <v>256</v>
      </c>
    </row>
    <row r="8" spans="2:12" ht="24.95" customHeight="1">
      <c r="B8" s="3">
        <v>2</v>
      </c>
      <c r="C8" s="10" t="s">
        <v>254</v>
      </c>
      <c r="D8" s="12" t="s">
        <v>248</v>
      </c>
      <c r="E8" s="3" t="s">
        <v>75</v>
      </c>
      <c r="F8" s="3"/>
      <c r="G8" s="3"/>
      <c r="H8" s="3" t="s">
        <v>94</v>
      </c>
      <c r="I8" s="3"/>
      <c r="J8" s="3"/>
      <c r="K8" s="3"/>
      <c r="L8" s="3"/>
    </row>
    <row r="9" spans="2:12" ht="24.95" customHeight="1">
      <c r="B9" s="3">
        <v>3</v>
      </c>
      <c r="C9" s="10" t="s">
        <v>101</v>
      </c>
      <c r="D9" s="12" t="s">
        <v>57</v>
      </c>
      <c r="E9" s="3" t="s">
        <v>86</v>
      </c>
      <c r="F9" s="3" t="s">
        <v>167</v>
      </c>
      <c r="G9" s="3"/>
      <c r="H9" s="3" t="s">
        <v>94</v>
      </c>
      <c r="I9" s="3"/>
      <c r="J9" s="3" t="s">
        <v>30</v>
      </c>
      <c r="K9" s="3" t="s">
        <v>101</v>
      </c>
      <c r="L9" s="3"/>
    </row>
  </sheetData>
  <mergeCells count="12">
    <mergeCell ref="J5:K5"/>
    <mergeCell ref="L5:L6"/>
    <mergeCell ref="B2:B3"/>
    <mergeCell ref="D2:H2"/>
    <mergeCell ref="D3:H3"/>
    <mergeCell ref="C4:L4"/>
    <mergeCell ref="B5:B6"/>
    <mergeCell ref="C5:D5"/>
    <mergeCell ref="E5:F5"/>
    <mergeCell ref="G5:G6"/>
    <mergeCell ref="H5:H6"/>
    <mergeCell ref="I5:I6"/>
  </mergeCells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DF820B3-6DBB-43A7-B482-D96BE9501B2F}">
          <x14:formula1>
            <xm:f>'Data Dictionary'!$A$2:$A$6</xm:f>
          </x14:formula1>
          <xm:sqref>E7:E10</xm:sqref>
        </x14:dataValidation>
        <x14:dataValidation type="list" allowBlank="1" showInputMessage="1" showErrorMessage="1" xr:uid="{434CED40-0D52-45AC-8321-A55D5C7F3AD7}">
          <x14:formula1>
            <xm:f>'Data Dictionary'!$B$2:$B$3</xm:f>
          </x14:formula1>
          <xm:sqref>G7:H10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461A7-736A-4021-83ED-BDBAFC7C8D93}">
  <dimension ref="B1:L9"/>
  <sheetViews>
    <sheetView workbookViewId="0">
      <selection activeCell="D2" sqref="D2:H2"/>
    </sheetView>
  </sheetViews>
  <sheetFormatPr defaultColWidth="10.6640625" defaultRowHeight="24.95" customHeight="1"/>
  <cols>
    <col min="1" max="1" width="3.6640625" style="2" customWidth="1"/>
    <col min="2" max="2" width="10.6640625" style="4"/>
    <col min="3" max="3" width="22.109375" style="4" customWidth="1"/>
    <col min="4" max="4" width="25.88671875" style="4" customWidth="1"/>
    <col min="5" max="5" width="19.88671875" style="4" customWidth="1"/>
    <col min="6" max="6" width="13.5546875" style="4" customWidth="1"/>
    <col min="7" max="8" width="10.6640625" style="4"/>
    <col min="9" max="9" width="15.88671875" style="4" customWidth="1"/>
    <col min="10" max="10" width="18.33203125" style="4" customWidth="1"/>
    <col min="11" max="11" width="14.33203125" style="4" customWidth="1"/>
    <col min="12" max="12" width="33.88671875" style="4" bestFit="1" customWidth="1"/>
    <col min="13" max="16384" width="10.6640625" style="2"/>
  </cols>
  <sheetData>
    <row r="1" spans="2:12" ht="24.95" customHeight="1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24.95" customHeight="1">
      <c r="B2" s="23" t="s">
        <v>14</v>
      </c>
      <c r="C2" s="5" t="s">
        <v>1</v>
      </c>
      <c r="D2" s="25" t="s">
        <v>28</v>
      </c>
      <c r="E2" s="25"/>
      <c r="F2" s="25"/>
      <c r="G2" s="25"/>
      <c r="H2" s="25"/>
      <c r="I2" s="5" t="s">
        <v>15</v>
      </c>
      <c r="J2" s="7" t="s">
        <v>72</v>
      </c>
      <c r="K2" s="5" t="s">
        <v>16</v>
      </c>
      <c r="L2" s="7"/>
    </row>
    <row r="3" spans="2:12" ht="24.95" customHeight="1">
      <c r="B3" s="23"/>
      <c r="C3" s="5" t="s">
        <v>2</v>
      </c>
      <c r="D3" s="25"/>
      <c r="E3" s="25"/>
      <c r="F3" s="25"/>
      <c r="G3" s="25"/>
      <c r="H3" s="25"/>
      <c r="I3" s="5" t="s">
        <v>13</v>
      </c>
      <c r="J3" s="9">
        <v>46262</v>
      </c>
      <c r="K3" s="5" t="s">
        <v>17</v>
      </c>
      <c r="L3" s="7"/>
    </row>
    <row r="4" spans="2:12" ht="24.95" customHeight="1" thickBot="1">
      <c r="B4" s="6" t="s">
        <v>11</v>
      </c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2:12" ht="24.95" customHeight="1" thickTop="1">
      <c r="B5" s="22" t="s">
        <v>5</v>
      </c>
      <c r="C5" s="22" t="s">
        <v>0</v>
      </c>
      <c r="D5" s="22"/>
      <c r="E5" s="22" t="s">
        <v>3</v>
      </c>
      <c r="F5" s="22"/>
      <c r="G5" s="22" t="s">
        <v>6</v>
      </c>
      <c r="H5" s="22" t="s">
        <v>7</v>
      </c>
      <c r="I5" s="22" t="s">
        <v>12</v>
      </c>
      <c r="J5" s="26" t="s">
        <v>8</v>
      </c>
      <c r="K5" s="27"/>
      <c r="L5" s="22" t="s">
        <v>11</v>
      </c>
    </row>
    <row r="6" spans="2:12" ht="24.95" customHeight="1">
      <c r="B6" s="23"/>
      <c r="C6" s="5" t="s">
        <v>1</v>
      </c>
      <c r="D6" s="5" t="s">
        <v>2</v>
      </c>
      <c r="E6" s="5" t="s">
        <v>3</v>
      </c>
      <c r="F6" s="5" t="s">
        <v>4</v>
      </c>
      <c r="G6" s="23"/>
      <c r="H6" s="23"/>
      <c r="I6" s="23"/>
      <c r="J6" s="5" t="s">
        <v>9</v>
      </c>
      <c r="K6" s="5" t="s">
        <v>10</v>
      </c>
      <c r="L6" s="23"/>
    </row>
    <row r="7" spans="2:12" ht="24.95" customHeight="1">
      <c r="B7" s="3">
        <v>1</v>
      </c>
      <c r="C7" s="10" t="s">
        <v>257</v>
      </c>
      <c r="D7" s="17" t="s">
        <v>249</v>
      </c>
      <c r="E7" s="3" t="s">
        <v>86</v>
      </c>
      <c r="F7" s="3" t="s">
        <v>178</v>
      </c>
      <c r="G7" s="3"/>
      <c r="H7" s="3"/>
      <c r="I7" s="3"/>
      <c r="J7" s="3"/>
      <c r="K7" s="3"/>
      <c r="L7" s="3" t="s">
        <v>197</v>
      </c>
    </row>
    <row r="8" spans="2:12" ht="24.95" customHeight="1">
      <c r="B8" s="3">
        <v>2</v>
      </c>
      <c r="C8" s="10" t="s">
        <v>258</v>
      </c>
      <c r="D8" s="12" t="s">
        <v>250</v>
      </c>
      <c r="E8" s="3" t="s">
        <v>75</v>
      </c>
      <c r="F8" s="3"/>
      <c r="G8" s="3"/>
      <c r="H8" s="3"/>
      <c r="I8" s="3"/>
      <c r="J8" s="3"/>
      <c r="K8" s="3"/>
      <c r="L8" s="3"/>
    </row>
    <row r="9" spans="2:12" ht="24.95" customHeight="1">
      <c r="B9" s="3">
        <v>3</v>
      </c>
      <c r="C9" s="10" t="s">
        <v>101</v>
      </c>
      <c r="D9" s="12" t="s">
        <v>57</v>
      </c>
      <c r="E9" s="3" t="s">
        <v>86</v>
      </c>
      <c r="F9" s="3" t="s">
        <v>167</v>
      </c>
      <c r="G9" s="3"/>
      <c r="H9" s="3"/>
      <c r="I9" s="3"/>
      <c r="J9" s="3" t="s">
        <v>30</v>
      </c>
      <c r="K9" s="3" t="s">
        <v>101</v>
      </c>
      <c r="L9" s="3"/>
    </row>
  </sheetData>
  <mergeCells count="12">
    <mergeCell ref="J5:K5"/>
    <mergeCell ref="L5:L6"/>
    <mergeCell ref="B2:B3"/>
    <mergeCell ref="D2:H2"/>
    <mergeCell ref="D3:H3"/>
    <mergeCell ref="C4:L4"/>
    <mergeCell ref="B5:B6"/>
    <mergeCell ref="C5:D5"/>
    <mergeCell ref="E5:F5"/>
    <mergeCell ref="G5:G6"/>
    <mergeCell ref="H5:H6"/>
    <mergeCell ref="I5:I6"/>
  </mergeCells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FAE0B37-B3AF-4CDB-81C3-EB346AC5ABCD}">
          <x14:formula1>
            <xm:f>'Data Dictionary'!$B$2:$B$3</xm:f>
          </x14:formula1>
          <xm:sqref>G7:H10</xm:sqref>
        </x14:dataValidation>
        <x14:dataValidation type="list" allowBlank="1" showInputMessage="1" showErrorMessage="1" xr:uid="{243723BC-CF96-4761-A8D7-946A22206BA2}">
          <x14:formula1>
            <xm:f>'Data Dictionary'!$A$2:$A$6</xm:f>
          </x14:formula1>
          <xm:sqref>E7:E10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CAD2A-2E90-B84C-9BF8-CDE26A7CCD81}">
  <dimension ref="A1:G6"/>
  <sheetViews>
    <sheetView workbookViewId="0">
      <selection activeCell="E2" sqref="E2:G6"/>
    </sheetView>
  </sheetViews>
  <sheetFormatPr defaultColWidth="11.5546875" defaultRowHeight="17.25"/>
  <cols>
    <col min="6" max="6" width="22.44140625" bestFit="1" customWidth="1"/>
  </cols>
  <sheetData>
    <row r="1" spans="1:7">
      <c r="A1" t="s">
        <v>3</v>
      </c>
      <c r="B1" t="s">
        <v>6</v>
      </c>
    </row>
    <row r="2" spans="1:7">
      <c r="A2" t="s">
        <v>18</v>
      </c>
      <c r="B2" t="s">
        <v>22</v>
      </c>
      <c r="E2" t="s">
        <v>73</v>
      </c>
      <c r="F2" t="s">
        <v>74</v>
      </c>
      <c r="G2">
        <v>4000</v>
      </c>
    </row>
    <row r="3" spans="1:7">
      <c r="A3" t="s">
        <v>20</v>
      </c>
      <c r="B3" t="s">
        <v>23</v>
      </c>
      <c r="E3" t="s">
        <v>76</v>
      </c>
      <c r="F3" t="s">
        <v>77</v>
      </c>
    </row>
    <row r="4" spans="1:7">
      <c r="A4" t="s">
        <v>19</v>
      </c>
      <c r="E4" t="s">
        <v>79</v>
      </c>
      <c r="F4" t="s">
        <v>80</v>
      </c>
    </row>
    <row r="5" spans="1:7">
      <c r="A5" t="s">
        <v>21</v>
      </c>
      <c r="E5" t="s">
        <v>82</v>
      </c>
      <c r="F5" t="s">
        <v>83</v>
      </c>
      <c r="G5" t="s">
        <v>84</v>
      </c>
    </row>
    <row r="6" spans="1:7">
      <c r="A6" t="s">
        <v>24</v>
      </c>
      <c r="E6" t="s">
        <v>24</v>
      </c>
      <c r="F6" t="s">
        <v>85</v>
      </c>
      <c r="G6">
        <v>4000</v>
      </c>
    </row>
  </sheetData>
  <sortState xmlns:xlrd2="http://schemas.microsoft.com/office/spreadsheetml/2017/richdata2" ref="A2:A6">
    <sortCondition ref="A2:A6"/>
  </sortState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8AB41-7C8E-444A-AE5D-3AE6D7679024}">
  <dimension ref="A1:D199"/>
  <sheetViews>
    <sheetView workbookViewId="0">
      <selection activeCell="D2" sqref="D2"/>
    </sheetView>
  </sheetViews>
  <sheetFormatPr defaultColWidth="11.5546875" defaultRowHeight="24" customHeight="1"/>
  <cols>
    <col min="1" max="1" width="10.6640625" style="8"/>
    <col min="2" max="2" width="23" style="8" customWidth="1"/>
    <col min="3" max="3" width="53.6640625" style="8" bestFit="1" customWidth="1"/>
    <col min="4" max="4" width="25.33203125" style="8" customWidth="1"/>
  </cols>
  <sheetData>
    <row r="1" spans="1:4" ht="24" customHeight="1">
      <c r="A1" s="1" t="s">
        <v>5</v>
      </c>
      <c r="B1" s="1" t="s">
        <v>25</v>
      </c>
      <c r="C1" s="1" t="s">
        <v>11</v>
      </c>
      <c r="D1" s="1" t="s">
        <v>26</v>
      </c>
    </row>
    <row r="2" spans="1:4" ht="24" customHeight="1">
      <c r="A2" s="8">
        <f>IF(B2 &lt;&gt; "",ROW() -1,"")</f>
        <v>1</v>
      </c>
      <c r="B2" s="8" t="s">
        <v>38</v>
      </c>
      <c r="C2" s="8" t="s">
        <v>27</v>
      </c>
      <c r="D2" s="8" t="s">
        <v>28</v>
      </c>
    </row>
    <row r="3" spans="1:4" ht="24" customHeight="1">
      <c r="A3" s="8">
        <f t="shared" ref="A3:A66" si="0">IF(B3 &lt;&gt; "",ROW() -1,"")</f>
        <v>2</v>
      </c>
      <c r="B3" s="8" t="s">
        <v>39</v>
      </c>
      <c r="C3" s="8" t="s">
        <v>29</v>
      </c>
      <c r="D3" s="8" t="s">
        <v>30</v>
      </c>
    </row>
    <row r="4" spans="1:4" ht="24" customHeight="1">
      <c r="A4" s="8">
        <f t="shared" si="0"/>
        <v>3</v>
      </c>
      <c r="B4" s="8" t="s">
        <v>40</v>
      </c>
      <c r="C4" s="8" t="s">
        <v>31</v>
      </c>
      <c r="D4" s="8" t="s">
        <v>32</v>
      </c>
    </row>
    <row r="5" spans="1:4" ht="24" customHeight="1">
      <c r="A5" s="8">
        <f t="shared" si="0"/>
        <v>4</v>
      </c>
      <c r="B5" s="8" t="s">
        <v>41</v>
      </c>
      <c r="C5" s="8" t="s">
        <v>33</v>
      </c>
      <c r="D5" s="8" t="s">
        <v>34</v>
      </c>
    </row>
    <row r="6" spans="1:4" ht="24" customHeight="1">
      <c r="A6" s="8">
        <f t="shared" si="0"/>
        <v>5</v>
      </c>
      <c r="B6" s="8" t="s">
        <v>42</v>
      </c>
      <c r="C6" s="8" t="s">
        <v>35</v>
      </c>
      <c r="D6" s="8" t="s">
        <v>36</v>
      </c>
    </row>
    <row r="7" spans="1:4" ht="24" customHeight="1">
      <c r="A7" s="8">
        <f t="shared" si="0"/>
        <v>6</v>
      </c>
      <c r="B7" s="8" t="s">
        <v>37</v>
      </c>
      <c r="C7" s="8" t="s">
        <v>43</v>
      </c>
      <c r="D7" s="8" t="s">
        <v>44</v>
      </c>
    </row>
    <row r="8" spans="1:4" ht="24" customHeight="1">
      <c r="A8" s="8">
        <f t="shared" si="0"/>
        <v>7</v>
      </c>
      <c r="B8" s="8" t="s">
        <v>48</v>
      </c>
      <c r="C8" s="8" t="s">
        <v>45</v>
      </c>
      <c r="D8" s="8" t="s">
        <v>46</v>
      </c>
    </row>
    <row r="9" spans="1:4" ht="24" customHeight="1">
      <c r="A9" s="8">
        <f t="shared" si="0"/>
        <v>8</v>
      </c>
      <c r="B9" s="8" t="s">
        <v>47</v>
      </c>
      <c r="C9" s="8" t="s">
        <v>49</v>
      </c>
      <c r="D9" s="8" t="s">
        <v>50</v>
      </c>
    </row>
    <row r="10" spans="1:4" ht="24" customHeight="1">
      <c r="A10" s="8">
        <f t="shared" si="0"/>
        <v>9</v>
      </c>
      <c r="B10" s="8" t="s">
        <v>51</v>
      </c>
      <c r="C10" s="8" t="s">
        <v>52</v>
      </c>
      <c r="D10" s="8" t="s">
        <v>53</v>
      </c>
    </row>
    <row r="11" spans="1:4" ht="24" customHeight="1">
      <c r="A11" s="8">
        <f t="shared" si="0"/>
        <v>10</v>
      </c>
      <c r="B11" s="8" t="s">
        <v>54</v>
      </c>
      <c r="C11" s="8" t="s">
        <v>55</v>
      </c>
      <c r="D11" s="8" t="s">
        <v>56</v>
      </c>
    </row>
    <row r="12" spans="1:4" ht="24" customHeight="1">
      <c r="A12" s="8">
        <f t="shared" si="0"/>
        <v>11</v>
      </c>
      <c r="B12" s="8" t="s">
        <v>98</v>
      </c>
      <c r="C12" s="8" t="s">
        <v>99</v>
      </c>
      <c r="D12" s="8" t="s">
        <v>100</v>
      </c>
    </row>
    <row r="13" spans="1:4" ht="24" customHeight="1">
      <c r="A13" s="8">
        <f t="shared" si="0"/>
        <v>12</v>
      </c>
      <c r="B13" s="8" t="s">
        <v>103</v>
      </c>
      <c r="C13" s="8" t="s">
        <v>102</v>
      </c>
      <c r="D13" s="8" t="s">
        <v>104</v>
      </c>
    </row>
    <row r="14" spans="1:4" ht="24" customHeight="1">
      <c r="A14" s="8">
        <f t="shared" si="0"/>
        <v>13</v>
      </c>
      <c r="B14" s="8" t="s">
        <v>107</v>
      </c>
      <c r="C14" s="8" t="s">
        <v>106</v>
      </c>
      <c r="D14" s="8" t="s">
        <v>108</v>
      </c>
    </row>
    <row r="15" spans="1:4" ht="24" customHeight="1">
      <c r="A15" s="8">
        <f t="shared" si="0"/>
        <v>14</v>
      </c>
      <c r="B15" s="8" t="s">
        <v>110</v>
      </c>
      <c r="C15" s="8" t="s">
        <v>106</v>
      </c>
      <c r="D15" s="8" t="s">
        <v>109</v>
      </c>
    </row>
    <row r="16" spans="1:4" ht="24" customHeight="1">
      <c r="A16" s="8">
        <f t="shared" si="0"/>
        <v>15</v>
      </c>
      <c r="B16" s="8" t="s">
        <v>112</v>
      </c>
      <c r="C16" s="8" t="s">
        <v>111</v>
      </c>
      <c r="D16" s="8" t="s">
        <v>113</v>
      </c>
    </row>
    <row r="17" spans="1:4" ht="24" customHeight="1">
      <c r="A17" s="8">
        <f t="shared" si="0"/>
        <v>16</v>
      </c>
      <c r="B17" s="8" t="s">
        <v>115</v>
      </c>
      <c r="C17" s="8" t="s">
        <v>114</v>
      </c>
      <c r="D17" s="8" t="s">
        <v>117</v>
      </c>
    </row>
    <row r="18" spans="1:4" ht="24" customHeight="1">
      <c r="A18" s="8">
        <f t="shared" si="0"/>
        <v>17</v>
      </c>
      <c r="B18" s="8" t="s">
        <v>119</v>
      </c>
      <c r="C18" s="8" t="s">
        <v>118</v>
      </c>
      <c r="D18" s="8" t="s">
        <v>120</v>
      </c>
    </row>
    <row r="19" spans="1:4" ht="24" customHeight="1">
      <c r="A19" s="8">
        <f t="shared" si="0"/>
        <v>18</v>
      </c>
      <c r="B19" s="8" t="s">
        <v>121</v>
      </c>
      <c r="C19" s="8" t="s">
        <v>121</v>
      </c>
      <c r="D19" s="8" t="s">
        <v>121</v>
      </c>
    </row>
    <row r="20" spans="1:4" ht="24" customHeight="1">
      <c r="A20" s="8">
        <f t="shared" si="0"/>
        <v>19</v>
      </c>
      <c r="B20" s="8" t="s">
        <v>123</v>
      </c>
      <c r="C20" s="8" t="s">
        <v>124</v>
      </c>
      <c r="D20" s="8" t="s">
        <v>125</v>
      </c>
    </row>
    <row r="21" spans="1:4" ht="24" customHeight="1">
      <c r="A21" s="8">
        <f t="shared" si="0"/>
        <v>20</v>
      </c>
      <c r="B21" s="8" t="s">
        <v>126</v>
      </c>
      <c r="C21" s="8" t="s">
        <v>145</v>
      </c>
      <c r="D21" s="8" t="s">
        <v>147</v>
      </c>
    </row>
    <row r="22" spans="1:4" ht="24" customHeight="1">
      <c r="A22" s="8">
        <f t="shared" si="0"/>
        <v>21</v>
      </c>
      <c r="B22" s="8" t="s">
        <v>127</v>
      </c>
      <c r="C22" s="8" t="s">
        <v>138</v>
      </c>
      <c r="D22" s="8" t="s">
        <v>148</v>
      </c>
    </row>
    <row r="23" spans="1:4" ht="24" customHeight="1">
      <c r="A23" s="8">
        <f t="shared" si="0"/>
        <v>22</v>
      </c>
      <c r="B23" s="8" t="s">
        <v>128</v>
      </c>
      <c r="C23" s="8" t="s">
        <v>139</v>
      </c>
      <c r="D23" s="8" t="s">
        <v>149</v>
      </c>
    </row>
    <row r="24" spans="1:4" ht="24" customHeight="1">
      <c r="A24" s="8">
        <f t="shared" si="0"/>
        <v>23</v>
      </c>
      <c r="B24" s="8" t="s">
        <v>129</v>
      </c>
      <c r="C24" s="8" t="s">
        <v>60</v>
      </c>
      <c r="D24" s="8" t="s">
        <v>150</v>
      </c>
    </row>
    <row r="25" spans="1:4" ht="24" customHeight="1">
      <c r="A25" s="8">
        <f t="shared" si="0"/>
        <v>24</v>
      </c>
      <c r="B25" s="8" t="s">
        <v>130</v>
      </c>
      <c r="C25" s="8" t="s">
        <v>140</v>
      </c>
      <c r="D25" s="8" t="s">
        <v>151</v>
      </c>
    </row>
    <row r="26" spans="1:4" ht="24" customHeight="1">
      <c r="A26" s="8">
        <f t="shared" si="0"/>
        <v>25</v>
      </c>
      <c r="B26" s="8" t="s">
        <v>131</v>
      </c>
      <c r="C26" s="8" t="s">
        <v>141</v>
      </c>
      <c r="D26" s="8" t="s">
        <v>152</v>
      </c>
    </row>
    <row r="27" spans="1:4" ht="24" customHeight="1">
      <c r="A27" s="8">
        <f t="shared" si="0"/>
        <v>26</v>
      </c>
      <c r="B27" s="8" t="s">
        <v>132</v>
      </c>
      <c r="C27" s="8" t="s">
        <v>142</v>
      </c>
      <c r="D27" s="8" t="s">
        <v>153</v>
      </c>
    </row>
    <row r="28" spans="1:4" ht="24" customHeight="1">
      <c r="A28" s="8">
        <f t="shared" si="0"/>
        <v>27</v>
      </c>
      <c r="B28" s="8" t="s">
        <v>133</v>
      </c>
      <c r="C28" s="8" t="s">
        <v>142</v>
      </c>
      <c r="D28" s="8" t="s">
        <v>155</v>
      </c>
    </row>
    <row r="29" spans="1:4" ht="24" customHeight="1">
      <c r="A29" s="8">
        <f t="shared" si="0"/>
        <v>28</v>
      </c>
      <c r="B29" s="8" t="s">
        <v>134</v>
      </c>
      <c r="C29" s="8" t="s">
        <v>143</v>
      </c>
      <c r="D29" s="8" t="s">
        <v>156</v>
      </c>
    </row>
    <row r="30" spans="1:4" ht="24" customHeight="1">
      <c r="A30" s="8">
        <f t="shared" si="0"/>
        <v>29</v>
      </c>
      <c r="B30" s="8" t="s">
        <v>135</v>
      </c>
      <c r="C30" s="8" t="s">
        <v>68</v>
      </c>
      <c r="D30" s="8" t="s">
        <v>158</v>
      </c>
    </row>
    <row r="31" spans="1:4" ht="24" customHeight="1">
      <c r="A31" s="8">
        <f t="shared" si="0"/>
        <v>30</v>
      </c>
      <c r="B31" s="8" t="s">
        <v>136</v>
      </c>
      <c r="C31" s="8" t="s">
        <v>144</v>
      </c>
      <c r="D31" s="8" t="s">
        <v>159</v>
      </c>
    </row>
    <row r="32" spans="1:4" ht="24" customHeight="1">
      <c r="A32" s="8">
        <f t="shared" si="0"/>
        <v>31</v>
      </c>
      <c r="B32" s="8" t="s">
        <v>137</v>
      </c>
      <c r="C32" s="8" t="s">
        <v>144</v>
      </c>
      <c r="D32" s="8" t="s">
        <v>160</v>
      </c>
    </row>
    <row r="33" spans="1:4" ht="24" customHeight="1">
      <c r="A33" s="8">
        <f t="shared" si="0"/>
        <v>32</v>
      </c>
      <c r="B33" s="8" t="s">
        <v>175</v>
      </c>
      <c r="C33" s="8" t="s">
        <v>173</v>
      </c>
      <c r="D33" s="8" t="s">
        <v>176</v>
      </c>
    </row>
    <row r="34" spans="1:4" ht="24" customHeight="1">
      <c r="A34" s="8">
        <f t="shared" si="0"/>
        <v>33</v>
      </c>
      <c r="B34" s="8" t="s">
        <v>47</v>
      </c>
      <c r="C34" s="8" t="s">
        <v>174</v>
      </c>
      <c r="D34" s="8" t="s">
        <v>50</v>
      </c>
    </row>
    <row r="35" spans="1:4" ht="24" customHeight="1">
      <c r="A35" s="8">
        <f t="shared" si="0"/>
        <v>34</v>
      </c>
      <c r="B35" s="8" t="s">
        <v>199</v>
      </c>
      <c r="C35" s="8" t="s">
        <v>200</v>
      </c>
      <c r="D35" s="8" t="s">
        <v>218</v>
      </c>
    </row>
    <row r="36" spans="1:4" ht="24" customHeight="1">
      <c r="A36" s="8">
        <f t="shared" si="0"/>
        <v>35</v>
      </c>
      <c r="B36" s="8" t="s">
        <v>201</v>
      </c>
      <c r="C36" s="8" t="s">
        <v>209</v>
      </c>
      <c r="D36" s="8" t="s">
        <v>219</v>
      </c>
    </row>
    <row r="37" spans="1:4" ht="24" customHeight="1">
      <c r="A37" s="8">
        <f t="shared" si="0"/>
        <v>36</v>
      </c>
      <c r="B37" s="8" t="s">
        <v>202</v>
      </c>
      <c r="C37" s="8" t="s">
        <v>210</v>
      </c>
      <c r="D37" s="8" t="s">
        <v>220</v>
      </c>
    </row>
    <row r="38" spans="1:4" ht="24" customHeight="1">
      <c r="A38" s="8">
        <f t="shared" si="0"/>
        <v>37</v>
      </c>
      <c r="B38" s="8" t="s">
        <v>203</v>
      </c>
      <c r="C38" s="8" t="s">
        <v>211</v>
      </c>
      <c r="D38" s="8" t="s">
        <v>221</v>
      </c>
    </row>
    <row r="39" spans="1:4" ht="24" customHeight="1">
      <c r="A39" s="8">
        <f t="shared" si="0"/>
        <v>38</v>
      </c>
      <c r="B39" s="8" t="s">
        <v>194</v>
      </c>
      <c r="C39" s="8" t="s">
        <v>192</v>
      </c>
      <c r="D39" s="8" t="s">
        <v>195</v>
      </c>
    </row>
    <row r="40" spans="1:4" ht="24" customHeight="1">
      <c r="A40" s="8">
        <f t="shared" si="0"/>
        <v>39</v>
      </c>
      <c r="B40" s="8" t="s">
        <v>204</v>
      </c>
      <c r="C40" s="8" t="s">
        <v>212</v>
      </c>
      <c r="D40" s="8" t="s">
        <v>222</v>
      </c>
    </row>
    <row r="41" spans="1:4" ht="24" customHeight="1">
      <c r="A41" s="8">
        <f t="shared" si="0"/>
        <v>40</v>
      </c>
      <c r="B41" s="8" t="s">
        <v>205</v>
      </c>
      <c r="C41" s="8" t="s">
        <v>213</v>
      </c>
      <c r="D41" s="8" t="s">
        <v>223</v>
      </c>
    </row>
    <row r="42" spans="1:4" ht="24" customHeight="1">
      <c r="A42" s="8">
        <f t="shared" si="0"/>
        <v>41</v>
      </c>
      <c r="B42" s="8" t="s">
        <v>206</v>
      </c>
      <c r="C42" s="8" t="s">
        <v>214</v>
      </c>
      <c r="D42" s="8" t="s">
        <v>224</v>
      </c>
    </row>
    <row r="43" spans="1:4" ht="24" customHeight="1">
      <c r="A43" s="8">
        <f t="shared" si="0"/>
        <v>42</v>
      </c>
      <c r="B43" s="8" t="s">
        <v>207</v>
      </c>
      <c r="C43" s="8" t="s">
        <v>215</v>
      </c>
      <c r="D43" s="8" t="s">
        <v>225</v>
      </c>
    </row>
    <row r="44" spans="1:4" ht="24" customHeight="1">
      <c r="A44" s="8">
        <f t="shared" si="0"/>
        <v>43</v>
      </c>
      <c r="B44" s="8" t="s">
        <v>208</v>
      </c>
      <c r="C44" s="8" t="s">
        <v>216</v>
      </c>
      <c r="D44" s="8" t="s">
        <v>226</v>
      </c>
    </row>
    <row r="45" spans="1:4" ht="24" customHeight="1">
      <c r="A45" s="8">
        <f t="shared" si="0"/>
        <v>44</v>
      </c>
      <c r="B45" s="8" t="s">
        <v>47</v>
      </c>
    </row>
    <row r="46" spans="1:4" ht="24" customHeight="1">
      <c r="A46" s="8">
        <f t="shared" si="0"/>
        <v>45</v>
      </c>
      <c r="B46" s="8" t="s">
        <v>47</v>
      </c>
    </row>
    <row r="47" spans="1:4" ht="24" customHeight="1">
      <c r="A47" s="8">
        <f t="shared" si="0"/>
        <v>46</v>
      </c>
      <c r="B47" s="8" t="s">
        <v>47</v>
      </c>
    </row>
    <row r="48" spans="1:4" ht="24" customHeight="1">
      <c r="A48" s="8">
        <f t="shared" si="0"/>
        <v>47</v>
      </c>
      <c r="B48" s="8" t="s">
        <v>47</v>
      </c>
    </row>
    <row r="49" spans="1:2" ht="24" customHeight="1">
      <c r="A49" s="8">
        <f t="shared" si="0"/>
        <v>48</v>
      </c>
      <c r="B49" s="8" t="s">
        <v>47</v>
      </c>
    </row>
    <row r="50" spans="1:2" ht="24" customHeight="1">
      <c r="A50" s="8">
        <f t="shared" si="0"/>
        <v>49</v>
      </c>
      <c r="B50" s="8" t="s">
        <v>47</v>
      </c>
    </row>
    <row r="51" spans="1:2" ht="24" customHeight="1">
      <c r="A51" s="8">
        <f t="shared" si="0"/>
        <v>50</v>
      </c>
      <c r="B51" s="8" t="s">
        <v>47</v>
      </c>
    </row>
    <row r="52" spans="1:2" ht="24" customHeight="1">
      <c r="A52" s="8" t="str">
        <f t="shared" si="0"/>
        <v/>
      </c>
    </row>
    <row r="53" spans="1:2" ht="24" customHeight="1">
      <c r="A53" s="8" t="str">
        <f t="shared" si="0"/>
        <v/>
      </c>
    </row>
    <row r="54" spans="1:2" ht="24" customHeight="1">
      <c r="A54" s="8" t="str">
        <f t="shared" si="0"/>
        <v/>
      </c>
    </row>
    <row r="55" spans="1:2" ht="24" customHeight="1">
      <c r="A55" s="8" t="str">
        <f t="shared" si="0"/>
        <v/>
      </c>
    </row>
    <row r="56" spans="1:2" ht="24" customHeight="1">
      <c r="A56" s="8" t="str">
        <f t="shared" si="0"/>
        <v/>
      </c>
    </row>
    <row r="57" spans="1:2" ht="24" customHeight="1">
      <c r="A57" s="8" t="str">
        <f t="shared" si="0"/>
        <v/>
      </c>
    </row>
    <row r="58" spans="1:2" ht="24" customHeight="1">
      <c r="A58" s="8" t="str">
        <f t="shared" si="0"/>
        <v/>
      </c>
    </row>
    <row r="59" spans="1:2" ht="24" customHeight="1">
      <c r="A59" s="8" t="str">
        <f t="shared" si="0"/>
        <v/>
      </c>
    </row>
    <row r="60" spans="1:2" ht="24" customHeight="1">
      <c r="A60" s="8" t="str">
        <f t="shared" si="0"/>
        <v/>
      </c>
    </row>
    <row r="61" spans="1:2" ht="24" customHeight="1">
      <c r="A61" s="8" t="str">
        <f t="shared" si="0"/>
        <v/>
      </c>
    </row>
    <row r="62" spans="1:2" ht="24" customHeight="1">
      <c r="A62" s="8" t="str">
        <f t="shared" si="0"/>
        <v/>
      </c>
    </row>
    <row r="63" spans="1:2" ht="24" customHeight="1">
      <c r="A63" s="8" t="str">
        <f t="shared" si="0"/>
        <v/>
      </c>
    </row>
    <row r="64" spans="1:2" ht="24" customHeight="1">
      <c r="A64" s="8" t="str">
        <f t="shared" si="0"/>
        <v/>
      </c>
    </row>
    <row r="65" spans="1:1" ht="24" customHeight="1">
      <c r="A65" s="8" t="str">
        <f t="shared" si="0"/>
        <v/>
      </c>
    </row>
    <row r="66" spans="1:1" ht="24" customHeight="1">
      <c r="A66" s="8" t="str">
        <f t="shared" si="0"/>
        <v/>
      </c>
    </row>
    <row r="67" spans="1:1" ht="24" customHeight="1">
      <c r="A67" s="8" t="str">
        <f t="shared" ref="A67:A130" si="1">IF(B67 &lt;&gt; "",ROW() -1,"")</f>
        <v/>
      </c>
    </row>
    <row r="68" spans="1:1" ht="24" customHeight="1">
      <c r="A68" s="8" t="str">
        <f t="shared" si="1"/>
        <v/>
      </c>
    </row>
    <row r="69" spans="1:1" ht="24" customHeight="1">
      <c r="A69" s="8" t="str">
        <f t="shared" si="1"/>
        <v/>
      </c>
    </row>
    <row r="70" spans="1:1" ht="24" customHeight="1">
      <c r="A70" s="8" t="str">
        <f t="shared" si="1"/>
        <v/>
      </c>
    </row>
    <row r="71" spans="1:1" ht="24" customHeight="1">
      <c r="A71" s="8" t="str">
        <f t="shared" si="1"/>
        <v/>
      </c>
    </row>
    <row r="72" spans="1:1" ht="24" customHeight="1">
      <c r="A72" s="8" t="str">
        <f t="shared" si="1"/>
        <v/>
      </c>
    </row>
    <row r="73" spans="1:1" ht="24" customHeight="1">
      <c r="A73" s="8" t="str">
        <f t="shared" si="1"/>
        <v/>
      </c>
    </row>
    <row r="74" spans="1:1" ht="24" customHeight="1">
      <c r="A74" s="8" t="str">
        <f t="shared" si="1"/>
        <v/>
      </c>
    </row>
    <row r="75" spans="1:1" ht="24" customHeight="1">
      <c r="A75" s="8" t="str">
        <f t="shared" si="1"/>
        <v/>
      </c>
    </row>
    <row r="76" spans="1:1" ht="24" customHeight="1">
      <c r="A76" s="8" t="str">
        <f t="shared" si="1"/>
        <v/>
      </c>
    </row>
    <row r="77" spans="1:1" ht="24" customHeight="1">
      <c r="A77" s="8" t="str">
        <f t="shared" si="1"/>
        <v/>
      </c>
    </row>
    <row r="78" spans="1:1" ht="24" customHeight="1">
      <c r="A78" s="8" t="str">
        <f t="shared" si="1"/>
        <v/>
      </c>
    </row>
    <row r="79" spans="1:1" ht="24" customHeight="1">
      <c r="A79" s="8" t="str">
        <f t="shared" si="1"/>
        <v/>
      </c>
    </row>
    <row r="80" spans="1:1" ht="24" customHeight="1">
      <c r="A80" s="8" t="str">
        <f t="shared" si="1"/>
        <v/>
      </c>
    </row>
    <row r="81" spans="1:1" ht="24" customHeight="1">
      <c r="A81" s="8" t="str">
        <f t="shared" si="1"/>
        <v/>
      </c>
    </row>
    <row r="82" spans="1:1" ht="24" customHeight="1">
      <c r="A82" s="8" t="str">
        <f t="shared" si="1"/>
        <v/>
      </c>
    </row>
    <row r="83" spans="1:1" ht="24" customHeight="1">
      <c r="A83" s="8" t="str">
        <f t="shared" si="1"/>
        <v/>
      </c>
    </row>
    <row r="84" spans="1:1" ht="24" customHeight="1">
      <c r="A84" s="8" t="str">
        <f t="shared" si="1"/>
        <v/>
      </c>
    </row>
    <row r="85" spans="1:1" ht="24" customHeight="1">
      <c r="A85" s="8" t="str">
        <f t="shared" si="1"/>
        <v/>
      </c>
    </row>
    <row r="86" spans="1:1" ht="24" customHeight="1">
      <c r="A86" s="8" t="str">
        <f t="shared" si="1"/>
        <v/>
      </c>
    </row>
    <row r="87" spans="1:1" ht="24" customHeight="1">
      <c r="A87" s="8" t="str">
        <f t="shared" si="1"/>
        <v/>
      </c>
    </row>
    <row r="88" spans="1:1" ht="24" customHeight="1">
      <c r="A88" s="8" t="str">
        <f t="shared" si="1"/>
        <v/>
      </c>
    </row>
    <row r="89" spans="1:1" ht="24" customHeight="1">
      <c r="A89" s="8" t="str">
        <f t="shared" si="1"/>
        <v/>
      </c>
    </row>
    <row r="90" spans="1:1" ht="24" customHeight="1">
      <c r="A90" s="8" t="str">
        <f t="shared" si="1"/>
        <v/>
      </c>
    </row>
    <row r="91" spans="1:1" ht="24" customHeight="1">
      <c r="A91" s="8" t="str">
        <f t="shared" si="1"/>
        <v/>
      </c>
    </row>
    <row r="92" spans="1:1" ht="24" customHeight="1">
      <c r="A92" s="8" t="str">
        <f t="shared" si="1"/>
        <v/>
      </c>
    </row>
    <row r="93" spans="1:1" ht="24" customHeight="1">
      <c r="A93" s="8" t="str">
        <f t="shared" si="1"/>
        <v/>
      </c>
    </row>
    <row r="94" spans="1:1" ht="24" customHeight="1">
      <c r="A94" s="8" t="str">
        <f t="shared" si="1"/>
        <v/>
      </c>
    </row>
    <row r="95" spans="1:1" ht="24" customHeight="1">
      <c r="A95" s="8" t="str">
        <f t="shared" si="1"/>
        <v/>
      </c>
    </row>
    <row r="96" spans="1:1" ht="24" customHeight="1">
      <c r="A96" s="8" t="str">
        <f t="shared" si="1"/>
        <v/>
      </c>
    </row>
    <row r="97" spans="1:1" ht="24" customHeight="1">
      <c r="A97" s="8" t="str">
        <f t="shared" si="1"/>
        <v/>
      </c>
    </row>
    <row r="98" spans="1:1" ht="24" customHeight="1">
      <c r="A98" s="8" t="str">
        <f t="shared" si="1"/>
        <v/>
      </c>
    </row>
    <row r="99" spans="1:1" ht="24" customHeight="1">
      <c r="A99" s="8" t="str">
        <f t="shared" si="1"/>
        <v/>
      </c>
    </row>
    <row r="100" spans="1:1" ht="24" customHeight="1">
      <c r="A100" s="8" t="str">
        <f t="shared" si="1"/>
        <v/>
      </c>
    </row>
    <row r="101" spans="1:1" ht="24" customHeight="1">
      <c r="A101" s="8" t="str">
        <f t="shared" si="1"/>
        <v/>
      </c>
    </row>
    <row r="102" spans="1:1" ht="24" customHeight="1">
      <c r="A102" s="8" t="str">
        <f t="shared" si="1"/>
        <v/>
      </c>
    </row>
    <row r="103" spans="1:1" ht="24" customHeight="1">
      <c r="A103" s="8" t="str">
        <f t="shared" si="1"/>
        <v/>
      </c>
    </row>
    <row r="104" spans="1:1" ht="24" customHeight="1">
      <c r="A104" s="8" t="str">
        <f t="shared" si="1"/>
        <v/>
      </c>
    </row>
    <row r="105" spans="1:1" ht="24" customHeight="1">
      <c r="A105" s="8" t="str">
        <f t="shared" si="1"/>
        <v/>
      </c>
    </row>
    <row r="106" spans="1:1" ht="24" customHeight="1">
      <c r="A106" s="8" t="str">
        <f t="shared" si="1"/>
        <v/>
      </c>
    </row>
    <row r="107" spans="1:1" ht="24" customHeight="1">
      <c r="A107" s="8" t="str">
        <f t="shared" si="1"/>
        <v/>
      </c>
    </row>
    <row r="108" spans="1:1" ht="24" customHeight="1">
      <c r="A108" s="8" t="str">
        <f t="shared" si="1"/>
        <v/>
      </c>
    </row>
    <row r="109" spans="1:1" ht="24" customHeight="1">
      <c r="A109" s="8" t="str">
        <f t="shared" si="1"/>
        <v/>
      </c>
    </row>
    <row r="110" spans="1:1" ht="24" customHeight="1">
      <c r="A110" s="8" t="str">
        <f t="shared" si="1"/>
        <v/>
      </c>
    </row>
    <row r="111" spans="1:1" ht="24" customHeight="1">
      <c r="A111" s="8" t="str">
        <f t="shared" si="1"/>
        <v/>
      </c>
    </row>
    <row r="112" spans="1:1" ht="24" customHeight="1">
      <c r="A112" s="8" t="str">
        <f t="shared" si="1"/>
        <v/>
      </c>
    </row>
    <row r="113" spans="1:1" ht="24" customHeight="1">
      <c r="A113" s="8" t="str">
        <f t="shared" si="1"/>
        <v/>
      </c>
    </row>
    <row r="114" spans="1:1" ht="24" customHeight="1">
      <c r="A114" s="8" t="str">
        <f t="shared" si="1"/>
        <v/>
      </c>
    </row>
    <row r="115" spans="1:1" ht="24" customHeight="1">
      <c r="A115" s="8" t="str">
        <f t="shared" si="1"/>
        <v/>
      </c>
    </row>
    <row r="116" spans="1:1" ht="24" customHeight="1">
      <c r="A116" s="8" t="str">
        <f t="shared" si="1"/>
        <v/>
      </c>
    </row>
    <row r="117" spans="1:1" ht="24" customHeight="1">
      <c r="A117" s="8" t="str">
        <f t="shared" si="1"/>
        <v/>
      </c>
    </row>
    <row r="118" spans="1:1" ht="24" customHeight="1">
      <c r="A118" s="8" t="str">
        <f t="shared" si="1"/>
        <v/>
      </c>
    </row>
    <row r="119" spans="1:1" ht="24" customHeight="1">
      <c r="A119" s="8" t="str">
        <f t="shared" si="1"/>
        <v/>
      </c>
    </row>
    <row r="120" spans="1:1" ht="24" customHeight="1">
      <c r="A120" s="8" t="str">
        <f t="shared" si="1"/>
        <v/>
      </c>
    </row>
    <row r="121" spans="1:1" ht="24" customHeight="1">
      <c r="A121" s="8" t="str">
        <f t="shared" si="1"/>
        <v/>
      </c>
    </row>
    <row r="122" spans="1:1" ht="24" customHeight="1">
      <c r="A122" s="8" t="str">
        <f t="shared" si="1"/>
        <v/>
      </c>
    </row>
    <row r="123" spans="1:1" ht="24" customHeight="1">
      <c r="A123" s="8" t="str">
        <f t="shared" si="1"/>
        <v/>
      </c>
    </row>
    <row r="124" spans="1:1" ht="24" customHeight="1">
      <c r="A124" s="8" t="str">
        <f t="shared" si="1"/>
        <v/>
      </c>
    </row>
    <row r="125" spans="1:1" ht="24" customHeight="1">
      <c r="A125" s="8" t="str">
        <f t="shared" si="1"/>
        <v/>
      </c>
    </row>
    <row r="126" spans="1:1" ht="24" customHeight="1">
      <c r="A126" s="8" t="str">
        <f t="shared" si="1"/>
        <v/>
      </c>
    </row>
    <row r="127" spans="1:1" ht="24" customHeight="1">
      <c r="A127" s="8" t="str">
        <f t="shared" si="1"/>
        <v/>
      </c>
    </row>
    <row r="128" spans="1:1" ht="24" customHeight="1">
      <c r="A128" s="8" t="str">
        <f t="shared" si="1"/>
        <v/>
      </c>
    </row>
    <row r="129" spans="1:1" ht="24" customHeight="1">
      <c r="A129" s="8" t="str">
        <f t="shared" si="1"/>
        <v/>
      </c>
    </row>
    <row r="130" spans="1:1" ht="24" customHeight="1">
      <c r="A130" s="8" t="str">
        <f t="shared" si="1"/>
        <v/>
      </c>
    </row>
    <row r="131" spans="1:1" ht="24" customHeight="1">
      <c r="A131" s="8" t="str">
        <f t="shared" ref="A131:A194" si="2">IF(B131 &lt;&gt; "",ROW() -1,"")</f>
        <v/>
      </c>
    </row>
    <row r="132" spans="1:1" ht="24" customHeight="1">
      <c r="A132" s="8" t="str">
        <f t="shared" si="2"/>
        <v/>
      </c>
    </row>
    <row r="133" spans="1:1" ht="24" customHeight="1">
      <c r="A133" s="8" t="str">
        <f t="shared" si="2"/>
        <v/>
      </c>
    </row>
    <row r="134" spans="1:1" ht="24" customHeight="1">
      <c r="A134" s="8" t="str">
        <f t="shared" si="2"/>
        <v/>
      </c>
    </row>
    <row r="135" spans="1:1" ht="24" customHeight="1">
      <c r="A135" s="8" t="str">
        <f t="shared" si="2"/>
        <v/>
      </c>
    </row>
    <row r="136" spans="1:1" ht="24" customHeight="1">
      <c r="A136" s="8" t="str">
        <f t="shared" si="2"/>
        <v/>
      </c>
    </row>
    <row r="137" spans="1:1" ht="24" customHeight="1">
      <c r="A137" s="8" t="str">
        <f t="shared" si="2"/>
        <v/>
      </c>
    </row>
    <row r="138" spans="1:1" ht="24" customHeight="1">
      <c r="A138" s="8" t="str">
        <f t="shared" si="2"/>
        <v/>
      </c>
    </row>
    <row r="139" spans="1:1" ht="24" customHeight="1">
      <c r="A139" s="8" t="str">
        <f t="shared" si="2"/>
        <v/>
      </c>
    </row>
    <row r="140" spans="1:1" ht="24" customHeight="1">
      <c r="A140" s="8" t="str">
        <f t="shared" si="2"/>
        <v/>
      </c>
    </row>
    <row r="141" spans="1:1" ht="24" customHeight="1">
      <c r="A141" s="8" t="str">
        <f t="shared" si="2"/>
        <v/>
      </c>
    </row>
    <row r="142" spans="1:1" ht="24" customHeight="1">
      <c r="A142" s="8" t="str">
        <f t="shared" si="2"/>
        <v/>
      </c>
    </row>
    <row r="143" spans="1:1" ht="24" customHeight="1">
      <c r="A143" s="8" t="str">
        <f t="shared" si="2"/>
        <v/>
      </c>
    </row>
    <row r="144" spans="1:1" ht="24" customHeight="1">
      <c r="A144" s="8" t="str">
        <f t="shared" si="2"/>
        <v/>
      </c>
    </row>
    <row r="145" spans="1:1" ht="24" customHeight="1">
      <c r="A145" s="8" t="str">
        <f t="shared" si="2"/>
        <v/>
      </c>
    </row>
    <row r="146" spans="1:1" ht="24" customHeight="1">
      <c r="A146" s="8" t="str">
        <f t="shared" si="2"/>
        <v/>
      </c>
    </row>
    <row r="147" spans="1:1" ht="24" customHeight="1">
      <c r="A147" s="8" t="str">
        <f t="shared" si="2"/>
        <v/>
      </c>
    </row>
    <row r="148" spans="1:1" ht="24" customHeight="1">
      <c r="A148" s="8" t="str">
        <f t="shared" si="2"/>
        <v/>
      </c>
    </row>
    <row r="149" spans="1:1" ht="24" customHeight="1">
      <c r="A149" s="8" t="str">
        <f t="shared" si="2"/>
        <v/>
      </c>
    </row>
    <row r="150" spans="1:1" ht="24" customHeight="1">
      <c r="A150" s="8" t="str">
        <f t="shared" si="2"/>
        <v/>
      </c>
    </row>
    <row r="151" spans="1:1" ht="24" customHeight="1">
      <c r="A151" s="8" t="str">
        <f t="shared" si="2"/>
        <v/>
      </c>
    </row>
    <row r="152" spans="1:1" ht="24" customHeight="1">
      <c r="A152" s="8" t="str">
        <f t="shared" si="2"/>
        <v/>
      </c>
    </row>
    <row r="153" spans="1:1" ht="24" customHeight="1">
      <c r="A153" s="8" t="str">
        <f t="shared" si="2"/>
        <v/>
      </c>
    </row>
    <row r="154" spans="1:1" ht="24" customHeight="1">
      <c r="A154" s="8" t="str">
        <f t="shared" si="2"/>
        <v/>
      </c>
    </row>
    <row r="155" spans="1:1" ht="24" customHeight="1">
      <c r="A155" s="8" t="str">
        <f t="shared" si="2"/>
        <v/>
      </c>
    </row>
    <row r="156" spans="1:1" ht="24" customHeight="1">
      <c r="A156" s="8" t="str">
        <f t="shared" si="2"/>
        <v/>
      </c>
    </row>
    <row r="157" spans="1:1" ht="24" customHeight="1">
      <c r="A157" s="8" t="str">
        <f t="shared" si="2"/>
        <v/>
      </c>
    </row>
    <row r="158" spans="1:1" ht="24" customHeight="1">
      <c r="A158" s="8" t="str">
        <f t="shared" si="2"/>
        <v/>
      </c>
    </row>
    <row r="159" spans="1:1" ht="24" customHeight="1">
      <c r="A159" s="8" t="str">
        <f t="shared" si="2"/>
        <v/>
      </c>
    </row>
    <row r="160" spans="1:1" ht="24" customHeight="1">
      <c r="A160" s="8" t="str">
        <f t="shared" si="2"/>
        <v/>
      </c>
    </row>
    <row r="161" spans="1:1" ht="24" customHeight="1">
      <c r="A161" s="8" t="str">
        <f t="shared" si="2"/>
        <v/>
      </c>
    </row>
    <row r="162" spans="1:1" ht="24" customHeight="1">
      <c r="A162" s="8" t="str">
        <f t="shared" si="2"/>
        <v/>
      </c>
    </row>
    <row r="163" spans="1:1" ht="24" customHeight="1">
      <c r="A163" s="8" t="str">
        <f t="shared" si="2"/>
        <v/>
      </c>
    </row>
    <row r="164" spans="1:1" ht="24" customHeight="1">
      <c r="A164" s="8" t="str">
        <f t="shared" si="2"/>
        <v/>
      </c>
    </row>
    <row r="165" spans="1:1" ht="24" customHeight="1">
      <c r="A165" s="8" t="str">
        <f t="shared" si="2"/>
        <v/>
      </c>
    </row>
    <row r="166" spans="1:1" ht="24" customHeight="1">
      <c r="A166" s="8" t="str">
        <f t="shared" si="2"/>
        <v/>
      </c>
    </row>
    <row r="167" spans="1:1" ht="24" customHeight="1">
      <c r="A167" s="8" t="str">
        <f t="shared" si="2"/>
        <v/>
      </c>
    </row>
    <row r="168" spans="1:1" ht="24" customHeight="1">
      <c r="A168" s="8" t="str">
        <f t="shared" si="2"/>
        <v/>
      </c>
    </row>
    <row r="169" spans="1:1" ht="24" customHeight="1">
      <c r="A169" s="8" t="str">
        <f t="shared" si="2"/>
        <v/>
      </c>
    </row>
    <row r="170" spans="1:1" ht="24" customHeight="1">
      <c r="A170" s="8" t="str">
        <f t="shared" si="2"/>
        <v/>
      </c>
    </row>
    <row r="171" spans="1:1" ht="24" customHeight="1">
      <c r="A171" s="8" t="str">
        <f t="shared" si="2"/>
        <v/>
      </c>
    </row>
    <row r="172" spans="1:1" ht="24" customHeight="1">
      <c r="A172" s="8" t="str">
        <f t="shared" si="2"/>
        <v/>
      </c>
    </row>
    <row r="173" spans="1:1" ht="24" customHeight="1">
      <c r="A173" s="8" t="str">
        <f t="shared" si="2"/>
        <v/>
      </c>
    </row>
    <row r="174" spans="1:1" ht="24" customHeight="1">
      <c r="A174" s="8" t="str">
        <f t="shared" si="2"/>
        <v/>
      </c>
    </row>
    <row r="175" spans="1:1" ht="24" customHeight="1">
      <c r="A175" s="8" t="str">
        <f t="shared" si="2"/>
        <v/>
      </c>
    </row>
    <row r="176" spans="1:1" ht="24" customHeight="1">
      <c r="A176" s="8" t="str">
        <f t="shared" si="2"/>
        <v/>
      </c>
    </row>
    <row r="177" spans="1:1" ht="24" customHeight="1">
      <c r="A177" s="8" t="str">
        <f t="shared" si="2"/>
        <v/>
      </c>
    </row>
    <row r="178" spans="1:1" ht="24" customHeight="1">
      <c r="A178" s="8" t="str">
        <f t="shared" si="2"/>
        <v/>
      </c>
    </row>
    <row r="179" spans="1:1" ht="24" customHeight="1">
      <c r="A179" s="8" t="str">
        <f t="shared" si="2"/>
        <v/>
      </c>
    </row>
    <row r="180" spans="1:1" ht="24" customHeight="1">
      <c r="A180" s="8" t="str">
        <f t="shared" si="2"/>
        <v/>
      </c>
    </row>
    <row r="181" spans="1:1" ht="24" customHeight="1">
      <c r="A181" s="8" t="str">
        <f t="shared" si="2"/>
        <v/>
      </c>
    </row>
    <row r="182" spans="1:1" ht="24" customHeight="1">
      <c r="A182" s="8" t="str">
        <f t="shared" si="2"/>
        <v/>
      </c>
    </row>
    <row r="183" spans="1:1" ht="24" customHeight="1">
      <c r="A183" s="8" t="str">
        <f t="shared" si="2"/>
        <v/>
      </c>
    </row>
    <row r="184" spans="1:1" ht="24" customHeight="1">
      <c r="A184" s="8" t="str">
        <f t="shared" si="2"/>
        <v/>
      </c>
    </row>
    <row r="185" spans="1:1" ht="24" customHeight="1">
      <c r="A185" s="8" t="str">
        <f t="shared" si="2"/>
        <v/>
      </c>
    </row>
    <row r="186" spans="1:1" ht="24" customHeight="1">
      <c r="A186" s="8" t="str">
        <f t="shared" si="2"/>
        <v/>
      </c>
    </row>
    <row r="187" spans="1:1" ht="24" customHeight="1">
      <c r="A187" s="8" t="str">
        <f t="shared" si="2"/>
        <v/>
      </c>
    </row>
    <row r="188" spans="1:1" ht="24" customHeight="1">
      <c r="A188" s="8" t="str">
        <f t="shared" si="2"/>
        <v/>
      </c>
    </row>
    <row r="189" spans="1:1" ht="24" customHeight="1">
      <c r="A189" s="8" t="str">
        <f t="shared" si="2"/>
        <v/>
      </c>
    </row>
    <row r="190" spans="1:1" ht="24" customHeight="1">
      <c r="A190" s="8" t="str">
        <f t="shared" si="2"/>
        <v/>
      </c>
    </row>
    <row r="191" spans="1:1" ht="24" customHeight="1">
      <c r="A191" s="8" t="str">
        <f t="shared" si="2"/>
        <v/>
      </c>
    </row>
    <row r="192" spans="1:1" ht="24" customHeight="1">
      <c r="A192" s="8" t="str">
        <f t="shared" si="2"/>
        <v/>
      </c>
    </row>
    <row r="193" spans="1:1" ht="24" customHeight="1">
      <c r="A193" s="8" t="str">
        <f t="shared" si="2"/>
        <v/>
      </c>
    </row>
    <row r="194" spans="1:1" ht="24" customHeight="1">
      <c r="A194" s="8" t="str">
        <f t="shared" si="2"/>
        <v/>
      </c>
    </row>
    <row r="195" spans="1:1" ht="24" customHeight="1">
      <c r="A195" s="8" t="str">
        <f t="shared" ref="A195:A199" si="3">IF(B195 &lt;&gt; "",ROW() -1,"")</f>
        <v/>
      </c>
    </row>
    <row r="196" spans="1:1" ht="24" customHeight="1">
      <c r="A196" s="8" t="str">
        <f t="shared" si="3"/>
        <v/>
      </c>
    </row>
    <row r="197" spans="1:1" ht="24" customHeight="1">
      <c r="A197" s="8" t="str">
        <f t="shared" si="3"/>
        <v/>
      </c>
    </row>
    <row r="198" spans="1:1" ht="24" customHeight="1">
      <c r="A198" s="8" t="str">
        <f t="shared" si="3"/>
        <v/>
      </c>
    </row>
    <row r="199" spans="1:1" ht="24" customHeight="1">
      <c r="A199" s="8" t="str">
        <f t="shared" si="3"/>
        <v/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영화</vt:lpstr>
      <vt:lpstr>장르</vt:lpstr>
      <vt:lpstr>영화_장르</vt:lpstr>
      <vt:lpstr>참여자</vt:lpstr>
      <vt:lpstr>제작</vt:lpstr>
      <vt:lpstr>출연</vt:lpstr>
      <vt:lpstr>키워드</vt:lpstr>
      <vt:lpstr>영화 키워드</vt:lpstr>
      <vt:lpstr>동영상</vt:lpstr>
      <vt:lpstr>배경</vt:lpstr>
      <vt:lpstr>포스터</vt:lpstr>
      <vt:lpstr>Data Dictionary</vt:lpstr>
      <vt:lpstr>단축어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민창 장</dc:creator>
  <cp:lastModifiedBy>211-11</cp:lastModifiedBy>
  <dcterms:created xsi:type="dcterms:W3CDTF">2024-08-26T03:12:36Z</dcterms:created>
  <dcterms:modified xsi:type="dcterms:W3CDTF">2026-08-28T08:52:43Z</dcterms:modified>
</cp:coreProperties>
</file>